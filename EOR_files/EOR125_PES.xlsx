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ner\OneDrive\Desktop\"/>
    </mc:Choice>
  </mc:AlternateContent>
  <xr:revisionPtr revIDLastSave="0" documentId="13_ncr:1_{D9F5197C-4663-4A53-88B8-590EE3929F13}" xr6:coauthVersionLast="47" xr6:coauthVersionMax="47" xr10:uidLastSave="{00000000-0000-0000-0000-000000000000}"/>
  <bookViews>
    <workbookView xWindow="-109" yWindow="-109" windowWidth="26301" windowHeight="15935" activeTab="2" xr2:uid="{3BD450DB-91B2-4D86-982C-79B09877D289}"/>
  </bookViews>
  <sheets>
    <sheet name="EOR1" sheetId="1" r:id="rId1"/>
    <sheet name="EOR2" sheetId="2" r:id="rId2"/>
    <sheet name="EOR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3" l="1"/>
  <c r="B42" i="2"/>
  <c r="B41" i="2"/>
  <c r="B40" i="2"/>
  <c r="B39" i="2"/>
  <c r="B38" i="2"/>
  <c r="B37" i="2"/>
  <c r="B36" i="2"/>
  <c r="B35" i="2"/>
  <c r="B34" i="2"/>
  <c r="B33" i="2"/>
  <c r="B32" i="2"/>
  <c r="B31" i="2"/>
  <c r="B5" i="2"/>
  <c r="B6" i="2"/>
  <c r="B4" i="2"/>
  <c r="B9" i="2"/>
  <c r="B8" i="2"/>
  <c r="B7" i="2"/>
  <c r="K24" i="2"/>
  <c r="J24" i="2"/>
  <c r="K25" i="2" l="1"/>
  <c r="K26" i="2" s="1"/>
</calcChain>
</file>

<file path=xl/sharedStrings.xml><?xml version="1.0" encoding="utf-8"?>
<sst xmlns="http://schemas.openxmlformats.org/spreadsheetml/2006/main" count="78" uniqueCount="53">
  <si>
    <t>w_1</t>
  </si>
  <si>
    <t xml:space="preserve">852694064864242701362 </t>
  </si>
  <si>
    <t>EOR1</t>
  </si>
  <si>
    <t>rxn_1</t>
  </si>
  <si>
    <t>852694064864242701362_intra_H_migration_1_10</t>
  </si>
  <si>
    <t>w_2</t>
  </si>
  <si>
    <t xml:space="preserve">852694214994522781102 </t>
  </si>
  <si>
    <t>w_3</t>
  </si>
  <si>
    <t xml:space="preserve">852452912421851360792 </t>
  </si>
  <si>
    <t>rxn_2</t>
  </si>
  <si>
    <t>852694064864242701362_r12_insertion_R_1_2_3</t>
  </si>
  <si>
    <t>rxn_3</t>
  </si>
  <si>
    <t>rxn_4</t>
  </si>
  <si>
    <t>w_4</t>
  </si>
  <si>
    <t>852694064864242701362_r12_insertion_R_1_13_3</t>
  </si>
  <si>
    <t xml:space="preserve">852413092641891300572 </t>
  </si>
  <si>
    <t>rxn_24</t>
  </si>
  <si>
    <t>852654355044252600692_R_Addition_MultipleBond_13_1_3</t>
  </si>
  <si>
    <t>852413203252350690002</t>
  </si>
  <si>
    <t>w_16</t>
  </si>
  <si>
    <t>852452912421851360792_Intra_R_Add_ExoTetCyclic_F_3_1_14</t>
  </si>
  <si>
    <t>w_5</t>
  </si>
  <si>
    <t xml:space="preserve">852413243072270790122 </t>
  </si>
  <si>
    <t>pr_8</t>
  </si>
  <si>
    <t>290890730120000000002_561281360900380000001</t>
  </si>
  <si>
    <t>rxn_21</t>
  </si>
  <si>
    <t>852413243072270790122_r12_insertion_R_6_3_15</t>
  </si>
  <si>
    <t>rxn_31</t>
  </si>
  <si>
    <t>852413203252350690002_r12_insertion_R_7_6_3</t>
  </si>
  <si>
    <t xml:space="preserve">852694104634412831312 </t>
  </si>
  <si>
    <t>w_5 (eor1)</t>
  </si>
  <si>
    <t>rxn_21 (eor1)</t>
  </si>
  <si>
    <t>pr_8 (eor1)</t>
  </si>
  <si>
    <t>852694104634412831312_intra_H_migration_12_9</t>
  </si>
  <si>
    <t xml:space="preserve">c </t>
  </si>
  <si>
    <t>***L2</t>
  </si>
  <si>
    <t>852694104634412831312_r12_insertion_R_1_12_3</t>
  </si>
  <si>
    <t xml:space="preserve">852413132451871410632 </t>
  </si>
  <si>
    <t>pr_1</t>
  </si>
  <si>
    <t>w_8</t>
  </si>
  <si>
    <t xml:space="preserve">852452982411871350782 </t>
  </si>
  <si>
    <t xml:space="preserve">852413132451871410632_intra_H_migration_12_7   </t>
  </si>
  <si>
    <t>rxn_6</t>
  </si>
  <si>
    <t xml:space="preserve">w_5 </t>
  </si>
  <si>
    <t>rxn_8</t>
  </si>
  <si>
    <t>852413132451871410632_intra_H_migration_suprafacial_3_14</t>
  </si>
  <si>
    <t>rxn_24 (eor1)</t>
  </si>
  <si>
    <t>w_16 (eor1)</t>
  </si>
  <si>
    <t>rxn_31 (eor1)</t>
  </si>
  <si>
    <t>852694214994522781102_intra_H_migration_5_11</t>
  </si>
  <si>
    <t>852694214994522781102_intra_H_migration_5_9</t>
  </si>
  <si>
    <t>280760560080000000001_571692502621500120002</t>
  </si>
  <si>
    <t>852694214994522781102_r12_insertion_R_8_3_4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</si>
</sst>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662725554863914E-2"/>
          <c:y val="5.121564962290847E-2"/>
          <c:w val="0.83598380919819482"/>
          <c:h val="0.8977094457675177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yVal>
            <c:numRef>
              <c:f>'EOR1'!$B$7:$B$27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32.69</c:v>
                </c:pt>
                <c:pt idx="4">
                  <c:v>32.69</c:v>
                </c:pt>
                <c:pt idx="5">
                  <c:v>32.69</c:v>
                </c:pt>
                <c:pt idx="6">
                  <c:v>-1.64</c:v>
                </c:pt>
                <c:pt idx="7">
                  <c:v>-1.64</c:v>
                </c:pt>
                <c:pt idx="8">
                  <c:v>-1.64</c:v>
                </c:pt>
                <c:pt idx="9">
                  <c:v>14.38</c:v>
                </c:pt>
                <c:pt idx="10">
                  <c:v>14.38</c:v>
                </c:pt>
                <c:pt idx="11">
                  <c:v>14.38</c:v>
                </c:pt>
                <c:pt idx="12">
                  <c:v>1.96</c:v>
                </c:pt>
                <c:pt idx="13">
                  <c:v>1.96</c:v>
                </c:pt>
                <c:pt idx="14">
                  <c:v>1.96</c:v>
                </c:pt>
                <c:pt idx="15">
                  <c:v>11.44</c:v>
                </c:pt>
                <c:pt idx="16">
                  <c:v>11.44</c:v>
                </c:pt>
                <c:pt idx="17">
                  <c:v>11.44</c:v>
                </c:pt>
                <c:pt idx="18">
                  <c:v>3.92</c:v>
                </c:pt>
                <c:pt idx="19">
                  <c:v>3.92</c:v>
                </c:pt>
                <c:pt idx="20">
                  <c:v>3.92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D3-420B-92FC-B1451F75E3C2}"/>
            </c:ext>
          </c:extLst>
        </c:ser>
        <c:ser>
          <c:idx val="1"/>
          <c:order val="1"/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yVal>
            <c:numRef>
              <c:f>'EOR1'!$D$7:$D$36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27.26</c:v>
                </c:pt>
                <c:pt idx="4">
                  <c:v>27.26</c:v>
                </c:pt>
                <c:pt idx="5">
                  <c:v>27.26</c:v>
                </c:pt>
                <c:pt idx="6">
                  <c:v>-16.63</c:v>
                </c:pt>
                <c:pt idx="7">
                  <c:v>-16.63</c:v>
                </c:pt>
                <c:pt idx="8">
                  <c:v>-16.63</c:v>
                </c:pt>
                <c:pt idx="9">
                  <c:v>-5.3</c:v>
                </c:pt>
                <c:pt idx="10">
                  <c:v>-5.3</c:v>
                </c:pt>
                <c:pt idx="11">
                  <c:v>-5.3</c:v>
                </c:pt>
                <c:pt idx="12">
                  <c:v>-14.95</c:v>
                </c:pt>
                <c:pt idx="13">
                  <c:v>-14.95</c:v>
                </c:pt>
                <c:pt idx="14">
                  <c:v>-14.95</c:v>
                </c:pt>
                <c:pt idx="15">
                  <c:v>10.27</c:v>
                </c:pt>
                <c:pt idx="16">
                  <c:v>10.27</c:v>
                </c:pt>
                <c:pt idx="17">
                  <c:v>10.27</c:v>
                </c:pt>
                <c:pt idx="18">
                  <c:v>3.92</c:v>
                </c:pt>
                <c:pt idx="19">
                  <c:v>3.92</c:v>
                </c:pt>
                <c:pt idx="20">
                  <c:v>3.92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D3-420B-92FC-B1451F75E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7761407"/>
        <c:axId val="1997755647"/>
      </c:scatterChart>
      <c:valAx>
        <c:axId val="1997761407"/>
        <c:scaling>
          <c:orientation val="minMax"/>
          <c:max val="22"/>
        </c:scaling>
        <c:delete val="1"/>
        <c:axPos val="b"/>
        <c:majorTickMark val="out"/>
        <c:minorTickMark val="none"/>
        <c:tickLblPos val="nextTo"/>
        <c:crossAx val="1997755647"/>
        <c:crosses val="autoZero"/>
        <c:crossBetween val="midCat"/>
      </c:valAx>
      <c:valAx>
        <c:axId val="19977556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Energy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761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389138032514335E-2"/>
          <c:y val="3.9153304275585804E-2"/>
          <c:w val="0.89055754980261437"/>
          <c:h val="0.9216933914488284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yVal>
            <c:numRef>
              <c:f>'EOR2'!$B$1:$B$42</c:f>
              <c:numCache>
                <c:formatCode>General</c:formatCode>
                <c:ptCount val="42"/>
                <c:pt idx="3">
                  <c:v>-2.67</c:v>
                </c:pt>
                <c:pt idx="4">
                  <c:v>-2.67</c:v>
                </c:pt>
                <c:pt idx="5">
                  <c:v>-2.67</c:v>
                </c:pt>
                <c:pt idx="6">
                  <c:v>4.8499999999999996</c:v>
                </c:pt>
                <c:pt idx="7">
                  <c:v>4.8499999999999996</c:v>
                </c:pt>
                <c:pt idx="8">
                  <c:v>4.8499999999999996</c:v>
                </c:pt>
                <c:pt idx="9">
                  <c:v>-4.63</c:v>
                </c:pt>
                <c:pt idx="10">
                  <c:v>-4.63</c:v>
                </c:pt>
                <c:pt idx="11">
                  <c:v>-4.63</c:v>
                </c:pt>
                <c:pt idx="12">
                  <c:v>24.69</c:v>
                </c:pt>
                <c:pt idx="13">
                  <c:v>24.69</c:v>
                </c:pt>
                <c:pt idx="14">
                  <c:v>24.69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20.47</c:v>
                </c:pt>
                <c:pt idx="19">
                  <c:v>20.47</c:v>
                </c:pt>
                <c:pt idx="20">
                  <c:v>20.47</c:v>
                </c:pt>
                <c:pt idx="21">
                  <c:v>-2.17</c:v>
                </c:pt>
                <c:pt idx="22">
                  <c:v>-2.17</c:v>
                </c:pt>
                <c:pt idx="23">
                  <c:v>-2.17</c:v>
                </c:pt>
                <c:pt idx="24">
                  <c:v>14</c:v>
                </c:pt>
                <c:pt idx="25">
                  <c:v>14</c:v>
                </c:pt>
                <c:pt idx="26">
                  <c:v>14</c:v>
                </c:pt>
                <c:pt idx="27">
                  <c:v>-23.18</c:v>
                </c:pt>
                <c:pt idx="28">
                  <c:v>-23.18</c:v>
                </c:pt>
                <c:pt idx="29">
                  <c:v>-23.18</c:v>
                </c:pt>
                <c:pt idx="30">
                  <c:v>-11.89</c:v>
                </c:pt>
                <c:pt idx="31">
                  <c:v>-11.89</c:v>
                </c:pt>
                <c:pt idx="32">
                  <c:v>-11.89</c:v>
                </c:pt>
                <c:pt idx="33">
                  <c:v>-21.54</c:v>
                </c:pt>
                <c:pt idx="34">
                  <c:v>-21.54</c:v>
                </c:pt>
                <c:pt idx="35">
                  <c:v>-21.54</c:v>
                </c:pt>
                <c:pt idx="36">
                  <c:v>3.6799999999999997</c:v>
                </c:pt>
                <c:pt idx="37">
                  <c:v>3.6799999999999997</c:v>
                </c:pt>
                <c:pt idx="38">
                  <c:v>3.6799999999999997</c:v>
                </c:pt>
                <c:pt idx="39">
                  <c:v>-2.67</c:v>
                </c:pt>
                <c:pt idx="40">
                  <c:v>-2.67</c:v>
                </c:pt>
                <c:pt idx="41">
                  <c:v>-2.67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46-458C-940B-4CDF44EA3255}"/>
            </c:ext>
          </c:extLst>
        </c:ser>
        <c:ser>
          <c:idx val="1"/>
          <c:order val="1"/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yVal>
            <c:numRef>
              <c:f>'EOR2'!$D$1:$D$34</c:f>
              <c:numCache>
                <c:formatCode>General</c:formatCode>
                <c:ptCount val="34"/>
                <c:pt idx="21">
                  <c:v>-2.17</c:v>
                </c:pt>
                <c:pt idx="22">
                  <c:v>-2.17</c:v>
                </c:pt>
                <c:pt idx="23">
                  <c:v>-2.17</c:v>
                </c:pt>
                <c:pt idx="24">
                  <c:v>3.91</c:v>
                </c:pt>
                <c:pt idx="25">
                  <c:v>3.91</c:v>
                </c:pt>
                <c:pt idx="26">
                  <c:v>3.91</c:v>
                </c:pt>
                <c:pt idx="27">
                  <c:v>-24.09</c:v>
                </c:pt>
                <c:pt idx="28">
                  <c:v>-24.09</c:v>
                </c:pt>
                <c:pt idx="29">
                  <c:v>-24.09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46-458C-940B-4CDF44EA3255}"/>
            </c:ext>
          </c:extLst>
        </c:ser>
        <c:ser>
          <c:idx val="2"/>
          <c:order val="2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yVal>
            <c:numRef>
              <c:f>'EOR2'!$F$1:$F$42</c:f>
              <c:numCache>
                <c:formatCode>General</c:formatCode>
                <c:ptCount val="4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46-458C-940B-4CDF44EA325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'EOR2'!$H$1:$H$42</c:f>
              <c:numCache>
                <c:formatCode>General</c:formatCode>
                <c:ptCount val="4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46-458C-940B-4CDF44EA3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4710703"/>
        <c:axId val="2014704463"/>
      </c:scatterChart>
      <c:valAx>
        <c:axId val="2014710703"/>
        <c:scaling>
          <c:orientation val="minMax"/>
        </c:scaling>
        <c:delete val="1"/>
        <c:axPos val="b"/>
        <c:majorTickMark val="none"/>
        <c:minorTickMark val="none"/>
        <c:tickLblPos val="nextTo"/>
        <c:crossAx val="2014704463"/>
        <c:crosses val="autoZero"/>
        <c:crossBetween val="midCat"/>
      </c:valAx>
      <c:valAx>
        <c:axId val="20147044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Energy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710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0997375328084"/>
          <c:y val="4.6767279090113738E-2"/>
          <c:w val="0.85353062117235345"/>
          <c:h val="0.8971120675687220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yVal>
            <c:numRef>
              <c:f>'EOR5'!$B$1:$B$15</c:f>
              <c:numCache>
                <c:formatCode>General</c:formatCode>
                <c:ptCount val="15"/>
                <c:pt idx="0">
                  <c:v>0.37</c:v>
                </c:pt>
                <c:pt idx="1">
                  <c:v>0.37</c:v>
                </c:pt>
                <c:pt idx="2">
                  <c:v>0.37</c:v>
                </c:pt>
                <c:pt idx="3">
                  <c:v>23.82</c:v>
                </c:pt>
                <c:pt idx="4">
                  <c:v>23.82</c:v>
                </c:pt>
                <c:pt idx="5">
                  <c:v>23.82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19.670000000000002</c:v>
                </c:pt>
                <c:pt idx="10">
                  <c:v>19.670000000000002</c:v>
                </c:pt>
                <c:pt idx="11">
                  <c:v>19.670000000000002</c:v>
                </c:pt>
                <c:pt idx="12">
                  <c:v>-6.21</c:v>
                </c:pt>
                <c:pt idx="13">
                  <c:v>-6.21</c:v>
                </c:pt>
                <c:pt idx="14">
                  <c:v>-6.21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91-4D81-A2A6-02388D23C880}"/>
            </c:ext>
          </c:extLst>
        </c:ser>
        <c:ser>
          <c:idx val="1"/>
          <c:order val="1"/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yVal>
            <c:numRef>
              <c:f>'EOR5'!$D$1:$D$15</c:f>
              <c:numCache>
                <c:formatCode>General</c:formatCode>
                <c:ptCount val="15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27.25</c:v>
                </c:pt>
                <c:pt idx="10">
                  <c:v>27.25</c:v>
                </c:pt>
                <c:pt idx="11">
                  <c:v>27.25</c:v>
                </c:pt>
                <c:pt idx="12">
                  <c:v>21.61</c:v>
                </c:pt>
                <c:pt idx="13">
                  <c:v>21.61</c:v>
                </c:pt>
                <c:pt idx="14">
                  <c:v>21.61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91-4D81-A2A6-02388D23C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770767"/>
        <c:axId val="1982772687"/>
      </c:scatterChart>
      <c:valAx>
        <c:axId val="1982770767"/>
        <c:scaling>
          <c:orientation val="minMax"/>
        </c:scaling>
        <c:delete val="1"/>
        <c:axPos val="b"/>
        <c:majorTickMark val="none"/>
        <c:minorTickMark val="none"/>
        <c:tickLblPos val="nextTo"/>
        <c:crossAx val="1982772687"/>
        <c:crosses val="autoZero"/>
        <c:crossBetween val="midCat"/>
      </c:valAx>
      <c:valAx>
        <c:axId val="19827726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Energy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770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366326</xdr:colOff>
      <xdr:row>9</xdr:row>
      <xdr:rowOff>12203</xdr:rowOff>
    </xdr:from>
    <xdr:to>
      <xdr:col>13</xdr:col>
      <xdr:colOff>73533</xdr:colOff>
      <xdr:row>24</xdr:row>
      <xdr:rowOff>38081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6DC6E0-16E5-0084-EBE5-09A168FF3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0.19704</cdr:x>
      <cdr:y>0.71258</cdr:y>
    </cdr:from>
    <cdr:to>
      <cdr:x>0.26505</cdr:x>
      <cdr:y>0.77386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DCEC56AA-658D-72F0-6564-5F3174AA09C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6543" y="1957121"/>
          <a:ext cx="274948" cy="168289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tx1"/>
          </a:solidFill>
        </a:ln>
      </cdr:spPr>
    </cdr:pic>
  </cdr:relSizeAnchor>
  <cdr:relSizeAnchor xmlns:cdr="http://schemas.openxmlformats.org/drawingml/2006/chartDrawing">
    <cdr:from>
      <cdr:x>0.41003</cdr:x>
      <cdr:y>0.60954</cdr:y>
    </cdr:from>
    <cdr:to>
      <cdr:x>0.50671</cdr:x>
      <cdr:y>0.65057</cdr:y>
    </cdr:to>
    <cdr:pic>
      <cdr:nvPicPr>
        <cdr:cNvPr id="4" name="chart">
          <a:extLst xmlns:a="http://schemas.openxmlformats.org/drawingml/2006/main">
            <a:ext uri="{FF2B5EF4-FFF2-40B4-BE49-F238E27FC236}">
              <a16:creationId xmlns:a16="http://schemas.microsoft.com/office/drawing/2014/main" id="{EACB7E9B-6195-FE22-2892-00700101054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1657572" y="1674110"/>
          <a:ext cx="390814" cy="112691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tx1"/>
          </a:solidFill>
        </a:ln>
      </cdr:spPr>
    </cdr:pic>
  </cdr:relSizeAnchor>
  <cdr:relSizeAnchor xmlns:cdr="http://schemas.openxmlformats.org/drawingml/2006/chartDrawing">
    <cdr:from>
      <cdr:x>0.37996</cdr:x>
      <cdr:y>0.92804</cdr:y>
    </cdr:from>
    <cdr:to>
      <cdr:x>0.47368</cdr:x>
      <cdr:y>0.96202</cdr:y>
    </cdr:to>
    <cdr:pic>
      <cdr:nvPicPr>
        <cdr:cNvPr id="5" name="Picture 4" descr="multiplicity 2&#10;1  H u0 p0 c0 {2,S}&#10;2  C u1 p0 c0 {1,S} {3,S} {9,S}&#10;3  C u0 p0 c0 {2,S} {4,S} {5,S} {6,S}&#10;4  H u0 p0 c0 {3,S}&#10;5  H u0 p0 c0 {3,S}&#10;6  C u0 p0 c0 {3,S} {7,S} {8,D}&#10;7  H u0 p0 c0 {6,S}&#10;8  O u0 p2 c0 {6,D}&#10;9  C u0 p0 c0 {2,S} {10,S} {11,S} {12,S}&#10;10 H u0 p0 c0 {9,S}&#10;11 H u0 p0 c0 {9,S}&#10;12 C u0 p0 c0 {9,S} {13,S} {14,S} {15,S}&#10;13 H u0 p0 c0 {12,S}&#10;14 H u0 p0 c0 {12,S}&#10;15 H u0 p0 c0 {12,S}&#10;">
          <a:extLst xmlns:a="http://schemas.openxmlformats.org/drawingml/2006/main">
            <a:ext uri="{FF2B5EF4-FFF2-40B4-BE49-F238E27FC236}">
              <a16:creationId xmlns:a16="http://schemas.microsoft.com/office/drawing/2014/main" id="{5901D6C2-3BF1-4B7D-0492-4A72C2BCCD68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1536005" y="2548880"/>
          <a:ext cx="378859" cy="9331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0.58507</cdr:x>
      <cdr:y>0.90366</cdr:y>
    </cdr:from>
    <cdr:to>
      <cdr:x>0.66547</cdr:x>
      <cdr:y>0.98079</cdr:y>
    </cdr:to>
    <cdr:pic>
      <cdr:nvPicPr>
        <cdr:cNvPr id="7" name="chart">
          <a:extLst xmlns:a="http://schemas.openxmlformats.org/drawingml/2006/main">
            <a:ext uri="{FF2B5EF4-FFF2-40B4-BE49-F238E27FC236}">
              <a16:creationId xmlns:a16="http://schemas.microsoft.com/office/drawing/2014/main" id="{82D9F21E-6D96-814B-6DDB-F77D16BCF78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cdr:blipFill>
      <cdr:spPr>
        <a:xfrm xmlns:a="http://schemas.openxmlformats.org/drawingml/2006/main">
          <a:off x="2365182" y="2481928"/>
          <a:ext cx="325012" cy="211828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tx1"/>
          </a:solidFill>
        </a:ln>
      </cdr:spPr>
    </cdr:pic>
  </cdr:relSizeAnchor>
  <cdr:relSizeAnchor xmlns:cdr="http://schemas.openxmlformats.org/drawingml/2006/chartDrawing">
    <cdr:from>
      <cdr:x>0.58084</cdr:x>
      <cdr:y>0.67821</cdr:y>
    </cdr:from>
    <cdr:to>
      <cdr:x>0.66227</cdr:x>
      <cdr:y>0.75968</cdr:y>
    </cdr:to>
    <cdr:pic>
      <cdr:nvPicPr>
        <cdr:cNvPr id="8" name="chart">
          <a:extLst xmlns:a="http://schemas.openxmlformats.org/drawingml/2006/main">
            <a:ext uri="{FF2B5EF4-FFF2-40B4-BE49-F238E27FC236}">
              <a16:creationId xmlns:a16="http://schemas.microsoft.com/office/drawing/2014/main" id="{61E404E5-EB58-AC45-9E01-3612B525A4E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cdr:blipFill>
      <cdr:spPr>
        <a:xfrm xmlns:a="http://schemas.openxmlformats.org/drawingml/2006/main">
          <a:off x="2348073" y="1862724"/>
          <a:ext cx="329189" cy="223756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tx1"/>
          </a:solidFill>
        </a:ln>
      </cdr:spPr>
    </cdr:pic>
  </cdr:relSizeAnchor>
  <cdr:relSizeAnchor xmlns:cdr="http://schemas.openxmlformats.org/drawingml/2006/chartDrawing">
    <cdr:from>
      <cdr:x>0.79381</cdr:x>
      <cdr:y>0.66887</cdr:y>
    </cdr:from>
    <cdr:to>
      <cdr:x>0.87423</cdr:x>
      <cdr:y>0.75046</cdr:y>
    </cdr:to>
    <cdr:pic>
      <cdr:nvPicPr>
        <cdr:cNvPr id="9" name="chart">
          <a:extLst xmlns:a="http://schemas.openxmlformats.org/drawingml/2006/main">
            <a:ext uri="{FF2B5EF4-FFF2-40B4-BE49-F238E27FC236}">
              <a16:creationId xmlns:a16="http://schemas.microsoft.com/office/drawing/2014/main" id="{C5CAF4C9-AA4D-8E11-2C98-F4A7011B224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cdr:blipFill>
      <cdr:spPr>
        <a:xfrm xmlns:a="http://schemas.openxmlformats.org/drawingml/2006/main">
          <a:off x="3209024" y="1837067"/>
          <a:ext cx="325083" cy="224081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tx1"/>
          </a:solidFill>
        </a:ln>
      </cdr:spPr>
    </cdr:pic>
  </cdr:relSizeAnchor>
  <cdr:relSizeAnchor xmlns:cdr="http://schemas.openxmlformats.org/drawingml/2006/chartDrawing">
    <cdr:from>
      <cdr:x>0.19174</cdr:x>
      <cdr:y>0.64023</cdr:y>
    </cdr:from>
    <cdr:to>
      <cdr:x>0.29534</cdr:x>
      <cdr:y>0.73205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DFA69A0D-3486-71C9-AF26-E94945C2C3CD}"/>
            </a:ext>
          </a:extLst>
        </cdr:cNvPr>
        <cdr:cNvSpPr txBox="1"/>
      </cdr:nvSpPr>
      <cdr:spPr>
        <a:xfrm xmlns:a="http://schemas.openxmlformats.org/drawingml/2006/main">
          <a:off x="775107" y="1758405"/>
          <a:ext cx="418800" cy="2521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kern="1200"/>
            <a:t>0.0</a:t>
          </a:r>
        </a:p>
      </cdr:txBody>
    </cdr:sp>
  </cdr:relSizeAnchor>
  <cdr:relSizeAnchor xmlns:cdr="http://schemas.openxmlformats.org/drawingml/2006/chartDrawing">
    <cdr:from>
      <cdr:x>0.28952</cdr:x>
      <cdr:y>0.1695</cdr:y>
    </cdr:from>
    <cdr:to>
      <cdr:x>0.39312</cdr:x>
      <cdr:y>0.26131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9EDDF566-4776-554D-C722-E147B4A7C1BA}"/>
            </a:ext>
          </a:extLst>
        </cdr:cNvPr>
        <cdr:cNvSpPr txBox="1"/>
      </cdr:nvSpPr>
      <cdr:spPr>
        <a:xfrm xmlns:a="http://schemas.openxmlformats.org/drawingml/2006/main">
          <a:off x="1170408" y="465524"/>
          <a:ext cx="418800" cy="2521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kern="1200"/>
            <a:t>27.3</a:t>
          </a:r>
        </a:p>
        <a:p xmlns:a="http://schemas.openxmlformats.org/drawingml/2006/main">
          <a:endParaRPr lang="en-US" sz="1000" kern="1200"/>
        </a:p>
      </cdr:txBody>
    </cdr:sp>
  </cdr:relSizeAnchor>
  <cdr:relSizeAnchor xmlns:cdr="http://schemas.openxmlformats.org/drawingml/2006/chartDrawing">
    <cdr:from>
      <cdr:x>0.28953</cdr:x>
      <cdr:y>0.08529</cdr:y>
    </cdr:from>
    <cdr:to>
      <cdr:x>0.39313</cdr:x>
      <cdr:y>0.17711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D220CEE3-83E6-390D-D347-06C034D0FC36}"/>
            </a:ext>
          </a:extLst>
        </cdr:cNvPr>
        <cdr:cNvSpPr txBox="1"/>
      </cdr:nvSpPr>
      <cdr:spPr>
        <a:xfrm xmlns:a="http://schemas.openxmlformats.org/drawingml/2006/main">
          <a:off x="1170425" y="234242"/>
          <a:ext cx="418801" cy="2521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kern="1200"/>
            <a:t>32.7</a:t>
          </a:r>
        </a:p>
      </cdr:txBody>
    </cdr:sp>
  </cdr:relSizeAnchor>
  <cdr:relSizeAnchor xmlns:cdr="http://schemas.openxmlformats.org/drawingml/2006/chartDrawing">
    <cdr:from>
      <cdr:x>0.38686</cdr:x>
      <cdr:y>0.6673</cdr:y>
    </cdr:from>
    <cdr:to>
      <cdr:x>0.49045</cdr:x>
      <cdr:y>0.75912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6828C4E9-2804-6360-C2BE-EDEDE9EE0589}"/>
            </a:ext>
          </a:extLst>
        </cdr:cNvPr>
        <cdr:cNvSpPr txBox="1"/>
      </cdr:nvSpPr>
      <cdr:spPr>
        <a:xfrm xmlns:a="http://schemas.openxmlformats.org/drawingml/2006/main">
          <a:off x="1563879" y="1832759"/>
          <a:ext cx="418800" cy="2521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kern="1200"/>
            <a:t>-1.6</a:t>
          </a:r>
        </a:p>
      </cdr:txBody>
    </cdr:sp>
  </cdr:relSizeAnchor>
  <cdr:relSizeAnchor xmlns:cdr="http://schemas.openxmlformats.org/drawingml/2006/chartDrawing">
    <cdr:from>
      <cdr:x>0.3875</cdr:x>
      <cdr:y>0.83374</cdr:y>
    </cdr:from>
    <cdr:to>
      <cdr:x>0.50838</cdr:x>
      <cdr:y>0.92161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CC99ACDE-E921-6550-BC97-BDFDC176C02C}"/>
            </a:ext>
          </a:extLst>
        </cdr:cNvPr>
        <cdr:cNvSpPr txBox="1"/>
      </cdr:nvSpPr>
      <cdr:spPr>
        <a:xfrm xmlns:a="http://schemas.openxmlformats.org/drawingml/2006/main">
          <a:off x="1566487" y="2289888"/>
          <a:ext cx="488654" cy="2413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kern="1200"/>
            <a:t>-16.6</a:t>
          </a:r>
        </a:p>
      </cdr:txBody>
    </cdr:sp>
  </cdr:relSizeAnchor>
  <cdr:relSizeAnchor xmlns:cdr="http://schemas.openxmlformats.org/drawingml/2006/chartDrawing">
    <cdr:from>
      <cdr:x>0.49178</cdr:x>
      <cdr:y>0.65631</cdr:y>
    </cdr:from>
    <cdr:to>
      <cdr:x>0.61266</cdr:x>
      <cdr:y>0.74418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AA328109-F562-6FBF-649C-2D01B2F5EFAC}"/>
            </a:ext>
          </a:extLst>
        </cdr:cNvPr>
        <cdr:cNvSpPr txBox="1"/>
      </cdr:nvSpPr>
      <cdr:spPr>
        <a:xfrm xmlns:a="http://schemas.openxmlformats.org/drawingml/2006/main">
          <a:off x="1988044" y="1802578"/>
          <a:ext cx="488653" cy="2413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kern="1200"/>
            <a:t>-5.3</a:t>
          </a:r>
        </a:p>
      </cdr:txBody>
    </cdr:sp>
  </cdr:relSizeAnchor>
  <cdr:relSizeAnchor xmlns:cdr="http://schemas.openxmlformats.org/drawingml/2006/chartDrawing">
    <cdr:from>
      <cdr:x>0.57486</cdr:x>
      <cdr:y>0.80384</cdr:y>
    </cdr:from>
    <cdr:to>
      <cdr:x>0.69573</cdr:x>
      <cdr:y>0.89171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24FE052F-F163-9D3A-C25D-3E49CC4031C9}"/>
            </a:ext>
          </a:extLst>
        </cdr:cNvPr>
        <cdr:cNvSpPr txBox="1"/>
      </cdr:nvSpPr>
      <cdr:spPr>
        <a:xfrm xmlns:a="http://schemas.openxmlformats.org/drawingml/2006/main">
          <a:off x="2323876" y="2207773"/>
          <a:ext cx="488653" cy="2413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kern="1200"/>
            <a:t>-15.0</a:t>
          </a:r>
        </a:p>
      </cdr:txBody>
    </cdr:sp>
  </cdr:relSizeAnchor>
  <cdr:relSizeAnchor xmlns:cdr="http://schemas.openxmlformats.org/drawingml/2006/chartDrawing">
    <cdr:from>
      <cdr:x>0.49327</cdr:x>
      <cdr:y>0.35443</cdr:y>
    </cdr:from>
    <cdr:to>
      <cdr:x>0.61414</cdr:x>
      <cdr:y>0.44229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315C4CAB-955E-C520-8BFA-0CD325304ACF}"/>
            </a:ext>
          </a:extLst>
        </cdr:cNvPr>
        <cdr:cNvSpPr txBox="1"/>
      </cdr:nvSpPr>
      <cdr:spPr>
        <a:xfrm xmlns:a="http://schemas.openxmlformats.org/drawingml/2006/main">
          <a:off x="1994047" y="973438"/>
          <a:ext cx="488653" cy="2413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kern="1200"/>
            <a:t>14.4</a:t>
          </a:r>
        </a:p>
      </cdr:txBody>
    </cdr:sp>
  </cdr:relSizeAnchor>
  <cdr:relSizeAnchor xmlns:cdr="http://schemas.openxmlformats.org/drawingml/2006/chartDrawing">
    <cdr:from>
      <cdr:x>0.58525</cdr:x>
      <cdr:y>0.60038</cdr:y>
    </cdr:from>
    <cdr:to>
      <cdr:x>0.70613</cdr:x>
      <cdr:y>0.68825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EF79641D-1C81-2F69-CA5A-8A6710B5F707}"/>
            </a:ext>
          </a:extLst>
        </cdr:cNvPr>
        <cdr:cNvSpPr txBox="1"/>
      </cdr:nvSpPr>
      <cdr:spPr>
        <a:xfrm xmlns:a="http://schemas.openxmlformats.org/drawingml/2006/main">
          <a:off x="2365911" y="1648967"/>
          <a:ext cx="488653" cy="2413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kern="1200"/>
            <a:t>2.0</a:t>
          </a:r>
        </a:p>
      </cdr:txBody>
    </cdr:sp>
  </cdr:relSizeAnchor>
  <cdr:relSizeAnchor xmlns:cdr="http://schemas.openxmlformats.org/drawingml/2006/chartDrawing">
    <cdr:from>
      <cdr:x>0.68825</cdr:x>
      <cdr:y>0.39991</cdr:y>
    </cdr:from>
    <cdr:to>
      <cdr:x>0.80913</cdr:x>
      <cdr:y>0.48778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4C2E04E0-5E0D-8797-FFF8-B9923611834D}"/>
            </a:ext>
          </a:extLst>
        </cdr:cNvPr>
        <cdr:cNvSpPr txBox="1"/>
      </cdr:nvSpPr>
      <cdr:spPr>
        <a:xfrm xmlns:a="http://schemas.openxmlformats.org/drawingml/2006/main">
          <a:off x="2782294" y="1098372"/>
          <a:ext cx="488653" cy="2413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kern="1200"/>
            <a:t>11.4</a:t>
          </a:r>
        </a:p>
      </cdr:txBody>
    </cdr:sp>
  </cdr:relSizeAnchor>
  <cdr:relSizeAnchor xmlns:cdr="http://schemas.openxmlformats.org/drawingml/2006/chartDrawing">
    <cdr:from>
      <cdr:x>0.68737</cdr:x>
      <cdr:y>0.49049</cdr:y>
    </cdr:from>
    <cdr:to>
      <cdr:x>0.80824</cdr:x>
      <cdr:y>0.57835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4D570F64-E617-64F6-7C09-BB9C01448572}"/>
            </a:ext>
          </a:extLst>
        </cdr:cNvPr>
        <cdr:cNvSpPr txBox="1"/>
      </cdr:nvSpPr>
      <cdr:spPr>
        <a:xfrm xmlns:a="http://schemas.openxmlformats.org/drawingml/2006/main">
          <a:off x="2778699" y="1347143"/>
          <a:ext cx="488654" cy="2413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kern="1200"/>
            <a:t>10.3</a:t>
          </a:r>
        </a:p>
      </cdr:txBody>
    </cdr:sp>
  </cdr:relSizeAnchor>
  <cdr:relSizeAnchor xmlns:cdr="http://schemas.openxmlformats.org/drawingml/2006/chartDrawing">
    <cdr:from>
      <cdr:x>0.79631</cdr:x>
      <cdr:y>0.58501</cdr:y>
    </cdr:from>
    <cdr:to>
      <cdr:x>0.91718</cdr:x>
      <cdr:y>0.67287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EE87B4A4-0A41-FC74-76FE-5634AB1F7538}"/>
            </a:ext>
          </a:extLst>
        </cdr:cNvPr>
        <cdr:cNvSpPr txBox="1"/>
      </cdr:nvSpPr>
      <cdr:spPr>
        <a:xfrm xmlns:a="http://schemas.openxmlformats.org/drawingml/2006/main">
          <a:off x="3219097" y="1606738"/>
          <a:ext cx="488654" cy="2413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kern="1200"/>
            <a:t>3.9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581203</xdr:colOff>
      <xdr:row>3</xdr:row>
      <xdr:rowOff>64344</xdr:rowOff>
    </xdr:from>
    <xdr:to>
      <xdr:col>20</xdr:col>
      <xdr:colOff>609989</xdr:colOff>
      <xdr:row>27</xdr:row>
      <xdr:rowOff>58422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874155-2B6E-04CC-D2A4-89E45861E7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0.39219</cdr:x>
      <cdr:y>0.5164</cdr:y>
    </cdr:from>
    <cdr:to>
      <cdr:x>0.4687</cdr:x>
      <cdr:y>0.61559</cdr:y>
    </cdr:to>
    <cdr:pic>
      <cdr:nvPicPr>
        <cdr:cNvPr id="2" name="Picture 1" descr="multiplicity 2&#10;1  H u0 p0 c0 {2,S}&#10;2  C u1 p0 c0 {1,S} {3,S} {7,S}&#10;3  C u0 p0 c0 {2,S} {4,S} {5,S} {6,S}&#10;4  H u0 p0 c0 {3,S}&#10;5  H u0 p0 c0 {3,S}&#10;6  O u0 p2 c0 {3,S} {7,S}&#10;7  C u0 p0 c0 {2,S} {6,S} {8,S} {9,S}&#10;8  H u0 p0 c0 {7,S}&#10;9  C u0 p0 c0 {7,S} {10,S} {11,S} {12,S}&#10;10 H u0 p0 c0 {9,S}&#10;11 H u0 p0 c0 {9,S}&#10;12 C u0 p0 c0 {9,S} {13,S} {14,S} {15,S}&#10;13 H u0 p0 c0 {12,S}&#10;14 H u0 p0 c0 {12,S}&#10;15 H u0 p0 c0 {12,S}&#10;">
          <a:extLst xmlns:a="http://schemas.openxmlformats.org/drawingml/2006/main">
            <a:ext uri="{FF2B5EF4-FFF2-40B4-BE49-F238E27FC236}">
              <a16:creationId xmlns:a16="http://schemas.microsoft.com/office/drawing/2014/main" id="{ABB71238-6DE8-12E5-46ED-0621FC0BB160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3412939" y="2268829"/>
          <a:ext cx="665837" cy="4357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0.24346</cdr:x>
      <cdr:y>0.59126</cdr:y>
    </cdr:from>
    <cdr:to>
      <cdr:x>0.32981</cdr:x>
      <cdr:y>0.6926</cdr:y>
    </cdr:to>
    <cdr:pic>
      <cdr:nvPicPr>
        <cdr:cNvPr id="3" name="Picture 2" descr="multiplicity 2&#10;1  H u0 p0 c0 {2,S}&#10;2  C u0 p0 c0 {1,S} {3,S} {4,D}&#10;3  H u0 p0 c0 {2,S}&#10;4  C u0 p0 c0 {2,D} {5,S} {6,S}&#10;5  H u0 p0 c0 {4,S}&#10;6  C u0 p0 c0 {4,S} {7,S} {8,S} {9,S}&#10;7  H u0 p0 c0 {6,S}&#10;8  O u1 p2 c0 {6,S}&#10;9  C u0 p0 c0 {6,S} {10,S} {11,S} {12,S}&#10;10 H u0 p0 c0 {9,S}&#10;11 H u0 p0 c0 {9,S}&#10;12 C u0 p0 c0 {9,S} {13,S} {14,S} {15,S}&#10;13 H u0 p0 c0 {12,S}&#10;14 H u0 p0 c0 {12,S}&#10;15 H u0 p0 c0 {12,S}&#10;">
          <a:extLst xmlns:a="http://schemas.openxmlformats.org/drawingml/2006/main">
            <a:ext uri="{FF2B5EF4-FFF2-40B4-BE49-F238E27FC236}">
              <a16:creationId xmlns:a16="http://schemas.microsoft.com/office/drawing/2014/main" id="{841D2225-6507-0FC7-D3FC-74D4841B4760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2118685" y="2597722"/>
          <a:ext cx="751444" cy="4452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0.1263</cdr:x>
      <cdr:y>0.56071</cdr:y>
    </cdr:from>
    <cdr:to>
      <cdr:x>0.20172</cdr:x>
      <cdr:y>0.65127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C39481F9-7A61-EAC4-AF02-12371BBF676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cdr:blipFill>
      <cdr:spPr>
        <a:xfrm xmlns:a="http://schemas.openxmlformats.org/drawingml/2006/main">
          <a:off x="1099129" y="2463513"/>
          <a:ext cx="656325" cy="397896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tx1"/>
          </a:solidFill>
        </a:ln>
      </cdr:spPr>
    </cdr:pic>
  </cdr:relSizeAnchor>
  <cdr:relSizeAnchor xmlns:cdr="http://schemas.openxmlformats.org/drawingml/2006/chartDrawing">
    <cdr:from>
      <cdr:x>0.48013</cdr:x>
      <cdr:y>0.54948</cdr:y>
    </cdr:from>
    <cdr:to>
      <cdr:x>0.59692</cdr:x>
      <cdr:y>0.59233</cdr:y>
    </cdr:to>
    <cdr:pic>
      <cdr:nvPicPr>
        <cdr:cNvPr id="5" name="Picture 4" descr="multiplicity 2&#10;1  H u0 p0 c0 {2,S}&#10;2  C u0 p0 c0 {1,S} {3,D} {12,S}&#10;3  C u0 p0 c0 {2,D} {4,S} {5,S}&#10;4  H u0 p0 c0 {3,S}&#10;5  C u0 p0 c0 {3,S} {6,S} {7,S} {8,S}&#10;6  H u0 p0 c0 {5,S}&#10;7  H u0 p0 c0 {5,S}&#10;8  C u0 p0 c0 {5,S} {9,S} {10,S} {11,S}&#10;9  H u0 p0 c0 {8,S}&#10;10 H u0 p0 c0 {8,S}&#10;11 H u0 p0 c0 {8,S}&#10;12 C u0 p0 c0 {2,S} {13,S} {14,S} {15,S}&#10;13 H u0 p0 c0 {12,S}&#10;14 H u0 p0 c0 {12,S}&#10;15 O u1 p2 c0 {12,S}&#10;">
          <a:extLst xmlns:a="http://schemas.openxmlformats.org/drawingml/2006/main">
            <a:ext uri="{FF2B5EF4-FFF2-40B4-BE49-F238E27FC236}">
              <a16:creationId xmlns:a16="http://schemas.microsoft.com/office/drawing/2014/main" id="{0E0DEE27-FBBD-DE30-6587-FEEFFF0D7AAF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4178207" y="2414175"/>
          <a:ext cx="1016313" cy="18824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0.58894</cdr:x>
      <cdr:y>0.92286</cdr:y>
    </cdr:from>
    <cdr:to>
      <cdr:x>0.7101</cdr:x>
      <cdr:y>0.97214</cdr:y>
    </cdr:to>
    <cdr:pic>
      <cdr:nvPicPr>
        <cdr:cNvPr id="6" name="Picture 5" descr="multiplicity 2&#10;1  H u0 p0 c0 {2,S}&#10;2  O u0 p2 c0 {1,S} {3,S}&#10;3  C u0 p0 c0 {2,S} {4,S} {5,S} {6,S}&#10;4  H u0 p0 c0 {3,S}&#10;5  H u0 p0 c0 {3,S}&#10;6  C u0 p0 c0 {3,S} {7,S} {8,D}&#10;7  H u0 p0 c0 {6,S}&#10;8  C u0 p0 c0 {6,D} {9,S} {10,S}&#10;9  H u0 p0 c0 {8,S}&#10;10 C u1 p0 c0 {8,S} {11,S} {12,S}&#10;11 H u0 p0 c0 {10,S}&#10;12 C u0 p0 c0 {10,S} {13,S} {14,S} {15,S}&#10;13 H u0 p0 c0 {12,S}&#10;14 H u0 p0 c0 {12,S}&#10;15 H u0 p0 c0 {12,S}&#10;">
          <a:extLst xmlns:a="http://schemas.openxmlformats.org/drawingml/2006/main">
            <a:ext uri="{FF2B5EF4-FFF2-40B4-BE49-F238E27FC236}">
              <a16:creationId xmlns:a16="http://schemas.microsoft.com/office/drawing/2014/main" id="{88AB75BE-8E37-1B2C-3F08-9576DF713B7D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125139" y="4054644"/>
          <a:ext cx="1054306" cy="2164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0.60827</cdr:x>
      <cdr:y>0.7487</cdr:y>
    </cdr:from>
    <cdr:to>
      <cdr:x>0.72178</cdr:x>
      <cdr:y>0.79583</cdr:y>
    </cdr:to>
    <cdr:pic>
      <cdr:nvPicPr>
        <cdr:cNvPr id="7" name="Picture 6" descr="multiplicity 2&#10;1  H u0 p0 c0 {2,S}&#10;2  C u1 p0 c0 {1,S} {3,S} {9,S}&#10;3  C u0 p0 c0 {2,S} {4,S} {5,S} {6,S}&#10;4  H u0 p0 c0 {3,S}&#10;5  H u0 p0 c0 {3,S}&#10;6  C u0 p0 c0 {3,S} {7,S} {8,D}&#10;7  H u0 p0 c0 {6,S}&#10;8  O u0 p2 c0 {6,D}&#10;9  C u0 p0 c0 {2,S} {10,S} {11,S} {12,S}&#10;10 H u0 p0 c0 {9,S}&#10;11 H u0 p0 c0 {9,S}&#10;12 C u0 p0 c0 {9,S} {13,S} {14,S} {15,S}&#10;13 H u0 p0 c0 {12,S}&#10;14 H u0 p0 c0 {12,S}&#10;15 H u0 p0 c0 {12,S}&#10;">
          <a:extLst xmlns:a="http://schemas.openxmlformats.org/drawingml/2006/main">
            <a:ext uri="{FF2B5EF4-FFF2-40B4-BE49-F238E27FC236}">
              <a16:creationId xmlns:a16="http://schemas.microsoft.com/office/drawing/2014/main" id="{A0DCB3B5-B123-761E-3DDC-C983C24ABFEB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289163" y="3297797"/>
          <a:ext cx="987040" cy="20759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0.74599</cdr:x>
      <cdr:y>0.85019</cdr:y>
    </cdr:from>
    <cdr:to>
      <cdr:x>0.83767</cdr:x>
      <cdr:y>0.95302</cdr:y>
    </cdr:to>
    <cdr:pic>
      <cdr:nvPicPr>
        <cdr:cNvPr id="8" name="Picture 7" descr="multiplicity 2&#10;1  H u0 p0 c0 {2,S}&#10;2  C u1 p0 c0 {1,S} {3,S} {4,S}&#10;3  H u0 p0 c0 {2,S}&#10;4  C u0 p0 c0 {2,S} {5,S} {6,S} {9,S}&#10;5  H u0 p0 c0 {4,S}&#10;6  C u0 p0 c0 {4,S} {7,S} {8,D}&#10;7  H u0 p0 c0 {6,S}&#10;8  O u0 p2 c0 {6,D}&#10;9  C u0 p0 c0 {4,S} {10,S} {11,S} {12,S}&#10;10 H u0 p0 c0 {9,S}&#10;11 H u0 p0 c0 {9,S}&#10;12 C u0 p0 c0 {9,S} {13,S} {14,S} {15,S}&#10;13 H u0 p0 c0 {12,S}&#10;14 H u0 p0 c0 {12,S}&#10;15 H u0 p0 c0 {12,S}&#10;">
          <a:extLst xmlns:a="http://schemas.openxmlformats.org/drawingml/2006/main">
            <a:ext uri="{FF2B5EF4-FFF2-40B4-BE49-F238E27FC236}">
              <a16:creationId xmlns:a16="http://schemas.microsoft.com/office/drawing/2014/main" id="{BF68CD4E-8EA0-E2C6-AFB0-79EF9FE42030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6491769" y="3735352"/>
          <a:ext cx="797853" cy="4517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0.87621</cdr:x>
      <cdr:y>0.56196</cdr:y>
    </cdr:from>
    <cdr:to>
      <cdr:x>0.96751</cdr:x>
      <cdr:y>0.67069</cdr:y>
    </cdr:to>
    <cdr:pic>
      <cdr:nvPicPr>
        <cdr:cNvPr id="10" name="chart">
          <a:extLst xmlns:a="http://schemas.openxmlformats.org/drawingml/2006/main">
            <a:ext uri="{FF2B5EF4-FFF2-40B4-BE49-F238E27FC236}">
              <a16:creationId xmlns:a16="http://schemas.microsoft.com/office/drawing/2014/main" id="{32CB277C-049B-5FFE-1523-387E09DA388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cdr:blipFill>
      <cdr:spPr>
        <a:xfrm xmlns:a="http://schemas.openxmlformats.org/drawingml/2006/main">
          <a:off x="7619028" y="2475241"/>
          <a:ext cx="793843" cy="478924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tx1"/>
          </a:solidFill>
        </a:ln>
      </cdr:spPr>
    </cdr:pic>
  </cdr:relSizeAnchor>
  <cdr:relSizeAnchor xmlns:cdr="http://schemas.openxmlformats.org/drawingml/2006/chartDrawing">
    <cdr:from>
      <cdr:x>0.40537</cdr:x>
      <cdr:y>0.44889</cdr:y>
    </cdr:from>
    <cdr:to>
      <cdr:x>0.44866</cdr:x>
      <cdr:y>0.50368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A0B405B3-B656-0D56-8BF1-F8ED05EB12F7}"/>
            </a:ext>
          </a:extLst>
        </cdr:cNvPr>
        <cdr:cNvSpPr txBox="1"/>
      </cdr:nvSpPr>
      <cdr:spPr>
        <a:xfrm xmlns:a="http://schemas.openxmlformats.org/drawingml/2006/main">
          <a:off x="3527667" y="1972209"/>
          <a:ext cx="376646" cy="2407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0.0</a:t>
          </a:r>
        </a:p>
      </cdr:txBody>
    </cdr:sp>
  </cdr:relSizeAnchor>
  <cdr:relSizeAnchor xmlns:cdr="http://schemas.openxmlformats.org/drawingml/2006/chartDrawing">
    <cdr:from>
      <cdr:x>0.34331</cdr:x>
      <cdr:y>0.06405</cdr:y>
    </cdr:from>
    <cdr:to>
      <cdr:x>0.39941</cdr:x>
      <cdr:y>0.12628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6E8086EF-3D33-59D4-2FA4-5F7B3A0636B7}"/>
            </a:ext>
          </a:extLst>
        </cdr:cNvPr>
        <cdr:cNvSpPr txBox="1"/>
      </cdr:nvSpPr>
      <cdr:spPr>
        <a:xfrm xmlns:a="http://schemas.openxmlformats.org/drawingml/2006/main">
          <a:off x="2987536" y="281395"/>
          <a:ext cx="488216" cy="273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24.7</a:t>
          </a:r>
        </a:p>
      </cdr:txBody>
    </cdr:sp>
  </cdr:relSizeAnchor>
  <cdr:relSizeAnchor xmlns:cdr="http://schemas.openxmlformats.org/drawingml/2006/chartDrawing">
    <cdr:from>
      <cdr:x>0.28467</cdr:x>
      <cdr:y>0.5143</cdr:y>
    </cdr:from>
    <cdr:to>
      <cdr:x>0.34077</cdr:x>
      <cdr:y>0.57653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DF9D13DC-5FDF-89B2-4DCE-25B7073442BF}"/>
            </a:ext>
          </a:extLst>
        </cdr:cNvPr>
        <cdr:cNvSpPr txBox="1"/>
      </cdr:nvSpPr>
      <cdr:spPr>
        <a:xfrm xmlns:a="http://schemas.openxmlformats.org/drawingml/2006/main">
          <a:off x="2477242" y="2259608"/>
          <a:ext cx="488216" cy="273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-4.6</a:t>
          </a:r>
        </a:p>
      </cdr:txBody>
    </cdr:sp>
  </cdr:relSizeAnchor>
  <cdr:relSizeAnchor xmlns:cdr="http://schemas.openxmlformats.org/drawingml/2006/chartDrawing">
    <cdr:from>
      <cdr:x>0.16541</cdr:x>
      <cdr:y>0.49089</cdr:y>
    </cdr:from>
    <cdr:to>
      <cdr:x>0.22151</cdr:x>
      <cdr:y>0.55312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3D904BA9-3F5D-938A-EA2F-C42C97B59F36}"/>
            </a:ext>
          </a:extLst>
        </cdr:cNvPr>
        <cdr:cNvSpPr txBox="1"/>
      </cdr:nvSpPr>
      <cdr:spPr>
        <a:xfrm xmlns:a="http://schemas.openxmlformats.org/drawingml/2006/main">
          <a:off x="1439419" y="2156751"/>
          <a:ext cx="488216" cy="2734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-2.7</a:t>
          </a:r>
        </a:p>
      </cdr:txBody>
    </cdr:sp>
  </cdr:relSizeAnchor>
  <cdr:relSizeAnchor xmlns:cdr="http://schemas.openxmlformats.org/drawingml/2006/chartDrawing">
    <cdr:from>
      <cdr:x>0.46453</cdr:x>
      <cdr:y>0.13115</cdr:y>
    </cdr:from>
    <cdr:to>
      <cdr:x>0.52063</cdr:x>
      <cdr:y>0.19338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600FC148-9604-A9E2-E050-D95CC649B7D0}"/>
            </a:ext>
          </a:extLst>
        </cdr:cNvPr>
        <cdr:cNvSpPr txBox="1"/>
      </cdr:nvSpPr>
      <cdr:spPr>
        <a:xfrm xmlns:a="http://schemas.openxmlformats.org/drawingml/2006/main">
          <a:off x="4042478" y="576226"/>
          <a:ext cx="488216" cy="273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20.5</a:t>
          </a:r>
        </a:p>
      </cdr:txBody>
    </cdr:sp>
  </cdr:relSizeAnchor>
  <cdr:relSizeAnchor xmlns:cdr="http://schemas.openxmlformats.org/drawingml/2006/chartDrawing">
    <cdr:from>
      <cdr:x>0.52221</cdr:x>
      <cdr:y>0.481</cdr:y>
    </cdr:from>
    <cdr:to>
      <cdr:x>0.57831</cdr:x>
      <cdr:y>0.54323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BDA80DD5-6A04-91B3-952C-CB2861BEEBE8}"/>
            </a:ext>
          </a:extLst>
        </cdr:cNvPr>
        <cdr:cNvSpPr txBox="1"/>
      </cdr:nvSpPr>
      <cdr:spPr>
        <a:xfrm xmlns:a="http://schemas.openxmlformats.org/drawingml/2006/main">
          <a:off x="4544379" y="2113299"/>
          <a:ext cx="488216" cy="273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-2.2</a:t>
          </a:r>
        </a:p>
      </cdr:txBody>
    </cdr:sp>
  </cdr:relSizeAnchor>
  <cdr:relSizeAnchor xmlns:cdr="http://schemas.openxmlformats.org/drawingml/2006/chartDrawing">
    <cdr:from>
      <cdr:x>0.58439</cdr:x>
      <cdr:y>0.3864</cdr:y>
    </cdr:from>
    <cdr:to>
      <cdr:x>0.64049</cdr:x>
      <cdr:y>0.44863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BDA80DD5-6A04-91B3-952C-CB2861BEEBE8}"/>
            </a:ext>
          </a:extLst>
        </cdr:cNvPr>
        <cdr:cNvSpPr txBox="1"/>
      </cdr:nvSpPr>
      <cdr:spPr>
        <a:xfrm xmlns:a="http://schemas.openxmlformats.org/drawingml/2006/main">
          <a:off x="5085489" y="1697661"/>
          <a:ext cx="488216" cy="273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3.9</a:t>
          </a:r>
        </a:p>
      </cdr:txBody>
    </cdr:sp>
  </cdr:relSizeAnchor>
  <cdr:relSizeAnchor xmlns:cdr="http://schemas.openxmlformats.org/drawingml/2006/chartDrawing">
    <cdr:from>
      <cdr:x>0.63756</cdr:x>
      <cdr:y>0.86833</cdr:y>
    </cdr:from>
    <cdr:to>
      <cdr:x>0.69366</cdr:x>
      <cdr:y>0.93056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581C571-4646-89BE-89EA-28E3DCF58B27}"/>
            </a:ext>
          </a:extLst>
        </cdr:cNvPr>
        <cdr:cNvSpPr txBox="1"/>
      </cdr:nvSpPr>
      <cdr:spPr>
        <a:xfrm xmlns:a="http://schemas.openxmlformats.org/drawingml/2006/main">
          <a:off x="5548180" y="3815054"/>
          <a:ext cx="488216" cy="273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-24.1</a:t>
          </a:r>
        </a:p>
      </cdr:txBody>
    </cdr:sp>
  </cdr:relSizeAnchor>
  <cdr:relSizeAnchor xmlns:cdr="http://schemas.openxmlformats.org/drawingml/2006/chartDrawing">
    <cdr:from>
      <cdr:x>0.58078</cdr:x>
      <cdr:y>0.22754</cdr:y>
    </cdr:from>
    <cdr:to>
      <cdr:x>0.63689</cdr:x>
      <cdr:y>0.28977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581C571-4646-89BE-89EA-28E3DCF58B27}"/>
            </a:ext>
          </a:extLst>
        </cdr:cNvPr>
        <cdr:cNvSpPr txBox="1"/>
      </cdr:nvSpPr>
      <cdr:spPr>
        <a:xfrm xmlns:a="http://schemas.openxmlformats.org/drawingml/2006/main">
          <a:off x="5054121" y="999705"/>
          <a:ext cx="488216" cy="273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14.0</a:t>
          </a:r>
        </a:p>
      </cdr:txBody>
    </cdr:sp>
  </cdr:relSizeAnchor>
  <cdr:relSizeAnchor xmlns:cdr="http://schemas.openxmlformats.org/drawingml/2006/chartDrawing">
    <cdr:from>
      <cdr:x>0.63846</cdr:x>
      <cdr:y>0.79693</cdr:y>
    </cdr:from>
    <cdr:to>
      <cdr:x>0.69456</cdr:x>
      <cdr:y>0.85916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212B3C9D-9300-3911-AEC7-BA0B5DCE0D54}"/>
            </a:ext>
          </a:extLst>
        </cdr:cNvPr>
        <cdr:cNvSpPr txBox="1"/>
      </cdr:nvSpPr>
      <cdr:spPr>
        <a:xfrm xmlns:a="http://schemas.openxmlformats.org/drawingml/2006/main">
          <a:off x="5556021" y="3501366"/>
          <a:ext cx="488216" cy="273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-23.2</a:t>
          </a:r>
        </a:p>
      </cdr:txBody>
    </cdr:sp>
  </cdr:relSizeAnchor>
  <cdr:relSizeAnchor xmlns:cdr="http://schemas.openxmlformats.org/drawingml/2006/chartDrawing">
    <cdr:from>
      <cdr:x>0.69613</cdr:x>
      <cdr:y>0.62558</cdr:y>
    </cdr:from>
    <cdr:to>
      <cdr:x>0.75223</cdr:x>
      <cdr:y>0.68781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83580188-2A5C-B1D8-4137-D28974085CEC}"/>
            </a:ext>
          </a:extLst>
        </cdr:cNvPr>
        <cdr:cNvSpPr txBox="1"/>
      </cdr:nvSpPr>
      <cdr:spPr>
        <a:xfrm xmlns:a="http://schemas.openxmlformats.org/drawingml/2006/main">
          <a:off x="6057922" y="2748515"/>
          <a:ext cx="488216" cy="273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-11.9</a:t>
          </a:r>
        </a:p>
      </cdr:txBody>
    </cdr:sp>
  </cdr:relSizeAnchor>
  <cdr:relSizeAnchor xmlns:cdr="http://schemas.openxmlformats.org/drawingml/2006/chartDrawing">
    <cdr:from>
      <cdr:x>0.75831</cdr:x>
      <cdr:y>0.77908</cdr:y>
    </cdr:from>
    <cdr:to>
      <cdr:x>0.81442</cdr:x>
      <cdr:y>0.84131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3DA1AD76-11E2-6ED4-1649-387DA490D436}"/>
            </a:ext>
          </a:extLst>
        </cdr:cNvPr>
        <cdr:cNvSpPr txBox="1"/>
      </cdr:nvSpPr>
      <cdr:spPr>
        <a:xfrm xmlns:a="http://schemas.openxmlformats.org/drawingml/2006/main">
          <a:off x="6599033" y="3422944"/>
          <a:ext cx="488216" cy="273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-21.5</a:t>
          </a:r>
        </a:p>
      </cdr:txBody>
    </cdr:sp>
  </cdr:relSizeAnchor>
  <cdr:relSizeAnchor xmlns:cdr="http://schemas.openxmlformats.org/drawingml/2006/chartDrawing">
    <cdr:from>
      <cdr:x>0.8241</cdr:x>
      <cdr:y>0.39354</cdr:y>
    </cdr:from>
    <cdr:to>
      <cdr:x>0.8802</cdr:x>
      <cdr:y>0.45577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90BACEC4-4F13-F12C-DC2D-97866B3A05AC}"/>
            </a:ext>
          </a:extLst>
        </cdr:cNvPr>
        <cdr:cNvSpPr txBox="1"/>
      </cdr:nvSpPr>
      <cdr:spPr>
        <a:xfrm xmlns:a="http://schemas.openxmlformats.org/drawingml/2006/main">
          <a:off x="7171514" y="1729030"/>
          <a:ext cx="488216" cy="273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3.7</a:t>
          </a:r>
        </a:p>
      </cdr:txBody>
    </cdr:sp>
  </cdr:relSizeAnchor>
  <cdr:relSizeAnchor xmlns:cdr="http://schemas.openxmlformats.org/drawingml/2006/chartDrawing">
    <cdr:from>
      <cdr:x>0.88358</cdr:x>
      <cdr:y>0.48992</cdr:y>
    </cdr:from>
    <cdr:to>
      <cdr:x>0.93968</cdr:x>
      <cdr:y>0.55215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495748CA-FD44-FAF9-6F1D-7E90B8382C5C}"/>
            </a:ext>
          </a:extLst>
        </cdr:cNvPr>
        <cdr:cNvSpPr txBox="1"/>
      </cdr:nvSpPr>
      <cdr:spPr>
        <a:xfrm xmlns:a="http://schemas.openxmlformats.org/drawingml/2006/main">
          <a:off x="7689099" y="2152508"/>
          <a:ext cx="488216" cy="273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-2.7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225613</xdr:colOff>
      <xdr:row>7</xdr:row>
      <xdr:rowOff>85600</xdr:rowOff>
    </xdr:from>
    <xdr:to>
      <xdr:col>11</xdr:col>
      <xdr:colOff>449900</xdr:colOff>
      <xdr:row>22</xdr:row>
      <xdr:rowOff>111479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DFFE19-71BB-F007-D6A3-D9714316C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0.48158</cdr:x>
      <cdr:y>0.81602</cdr:y>
    </cdr:from>
    <cdr:to>
      <cdr:x>0.61087</cdr:x>
      <cdr:y>0.91748</cdr:y>
    </cdr:to>
    <cdr:pic>
      <cdr:nvPicPr>
        <cdr:cNvPr id="2" name="Picture 1" descr="multiplicity 2&#10;1  H u0 p0 c0 {2,S}&#10;2  C u1 p0 c0 {1,S} {3,S} {4,S}&#10;3  H u0 p0 c0 {2,S}&#10;4  C u0 p0 c0 {2,S} {5,S} {6,S} {7,S}&#10;5  H u0 p0 c0 {4,S}&#10;6  H u0 p0 c0 {4,S}&#10;7  C u0 p0 c0 {4,S} {8,S} {9,S} {13,S}&#10;8  H u0 p0 c0 {7,S}&#10;9  O u0 p2 c0 {7,S} {10,S}&#10;10 C u0 p0 c0 {9,S} {11,S} {12,S} {13,S}&#10;11 H u0 p0 c0 {10,S}&#10;12 H u0 p0 c0 {10,S}&#10;13 C u0 p0 c0 {7,S} {10,S} {14,S} {15,S}&#10;14 H u0 p0 c0 {13,S}&#10;15 H u0 p0 c0 {13,S}&#10;">
          <a:extLst xmlns:a="http://schemas.openxmlformats.org/drawingml/2006/main">
            <a:ext uri="{FF2B5EF4-FFF2-40B4-BE49-F238E27FC236}">
              <a16:creationId xmlns:a16="http://schemas.microsoft.com/office/drawing/2014/main" id="{734D50D7-E0F4-34FA-220F-BAECD360C653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2201773" y="2238495"/>
          <a:ext cx="591144" cy="2783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0.82082</cdr:x>
      <cdr:y>0.73751</cdr:y>
    </cdr:from>
    <cdr:to>
      <cdr:x>0.93208</cdr:x>
      <cdr:y>0.84117</cdr:y>
    </cdr:to>
    <cdr:pic>
      <cdr:nvPicPr>
        <cdr:cNvPr id="3" name="Picture 2" descr="multiplicity 2&#10;1  H u0 p0 c0 {2,S}&#10;2  C u1 p0 c0 {1,S} {3,S} {13,S}&#10;3  O u0 p2 c0 {2,S} {4,S}&#10;4  C u0 p0 c0 {3,S} {5,S} {6,S} {13,S}&#10;5  H u0 p0 c0 {4,S}&#10;6  C u0 p0 c0 {4,S} {7,S} {8,S} {9,S}&#10;7  H u0 p0 c0 {6,S}&#10;8  H u0 p0 c0 {6,S}&#10;9  C u0 p0 c0 {6,S} {10,S} {11,S} {12,S}&#10;10 H u0 p0 c0 {9,S}&#10;11 H u0 p0 c0 {9,S}&#10;12 H u0 p0 c0 {9,S}&#10;13 C u0 p0 c0 {2,S} {4,S} {14,S} {15,S}&#10;14 H u0 p0 c0 {13,S}&#10;15 H u0 p0 c0 {13,S}&#10;">
          <a:extLst xmlns:a="http://schemas.openxmlformats.org/drawingml/2006/main">
            <a:ext uri="{FF2B5EF4-FFF2-40B4-BE49-F238E27FC236}">
              <a16:creationId xmlns:a16="http://schemas.microsoft.com/office/drawing/2014/main" id="{A0B626CD-C360-3F3C-8EF6-8D5F3D285A50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3748352" y="2002765"/>
          <a:ext cx="508055" cy="28149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0.81194</cdr:x>
      <cdr:y>0.11015</cdr:y>
    </cdr:from>
    <cdr:to>
      <cdr:x>0.91634</cdr:x>
      <cdr:y>0.20905</cdr:y>
    </cdr:to>
    <cdr:pic>
      <cdr:nvPicPr>
        <cdr:cNvPr id="4" name="Picture 3" descr="multiplicity 2&#10;1  H u0 p0 c0 {2,S}&#10;2  C u1 p0 c0 {1,S} {3,S} {7,S}&#10;3  O u0 p2 c0 {2,S} {4,S}&#10;4  C u0 p0 c0 {3,S} {5,S} {6,S} {7,S}&#10;5  H u0 p0 c0 {4,S}&#10;6  H u0 p0 c0 {4,S}&#10;7  C u0 p0 c0 {2,S} {4,S} {8,S} {9,S}&#10;8  H u0 p0 c0 {7,S}&#10;9  H u0 p0 c0 {7,S}&#10;10 H u0 p0 c0 {11,S}&#10;11 C u0 p0 c0 {10,S} {12,S} {13,D}&#10;12 H u0 p0 c0 {11,S}&#10;13 C u0 p0 c0 {11,D} {14,S} {15,S}&#10;14 H u0 p0 c0 {13,S}&#10;15 H u0 p0 c0 {13,S}&#10;">
          <a:extLst xmlns:a="http://schemas.openxmlformats.org/drawingml/2006/main">
            <a:ext uri="{FF2B5EF4-FFF2-40B4-BE49-F238E27FC236}">
              <a16:creationId xmlns:a16="http://schemas.microsoft.com/office/drawing/2014/main" id="{F2B678E2-0334-D39D-5151-B84EEFA1D367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3707800" y="299129"/>
          <a:ext cx="476720" cy="2685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0.13942</cdr:x>
      <cdr:y>0.55783</cdr:y>
    </cdr:from>
    <cdr:to>
      <cdr:x>0.25473</cdr:x>
      <cdr:y>0.68526</cdr:y>
    </cdr:to>
    <cdr:pic>
      <cdr:nvPicPr>
        <cdr:cNvPr id="5" name="Picture 4" descr="multiplicity 2&#10;1  H u0 p0 c0 {2,S}&#10;2  C u1 p0 c0 {1,S} {3,S} {7,S}&#10;3  C u0 p0 c0 {2,S} {4,S} {5,S} {6,S}&#10;4  H u0 p0 c0 {3,S}&#10;5  H u0 p0 c0 {3,S}&#10;6  O u0 p2 c0 {3,S} {7,S}&#10;7  C u0 p0 c0 {2,S} {6,S} {8,S} {9,S}&#10;8  H u0 p0 c0 {7,S}&#10;9  C u0 p0 c0 {7,S} {10,S} {11,S} {12,S}&#10;10 H u0 p0 c0 {9,S}&#10;11 H u0 p0 c0 {9,S}&#10;12 C u0 p0 c0 {9,S} {13,S} {14,S} {15,S}&#10;13 H u0 p0 c0 {12,S}&#10;14 H u0 p0 c0 {12,S}&#10;15 H u0 p0 c0 {12,S}&#10;">
          <a:extLst xmlns:a="http://schemas.openxmlformats.org/drawingml/2006/main">
            <a:ext uri="{FF2B5EF4-FFF2-40B4-BE49-F238E27FC236}">
              <a16:creationId xmlns:a16="http://schemas.microsoft.com/office/drawing/2014/main" id="{ABB71238-6DE8-12E5-46ED-0621FC0BB160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637414" y="1530237"/>
          <a:ext cx="527233" cy="34957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0.50469</cdr:x>
      <cdr:y>0.71938</cdr:y>
    </cdr:from>
    <cdr:to>
      <cdr:x>0.61931</cdr:x>
      <cdr:y>0.80505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B5F63CC-FBBA-F49F-1EAA-C01C4EAD96A5}"/>
            </a:ext>
          </a:extLst>
        </cdr:cNvPr>
        <cdr:cNvSpPr txBox="1"/>
      </cdr:nvSpPr>
      <cdr:spPr>
        <a:xfrm xmlns:a="http://schemas.openxmlformats.org/drawingml/2006/main">
          <a:off x="2307441" y="1973411"/>
          <a:ext cx="524022" cy="2349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0.0</a:t>
          </a:r>
        </a:p>
      </cdr:txBody>
    </cdr:sp>
  </cdr:relSizeAnchor>
  <cdr:relSizeAnchor xmlns:cdr="http://schemas.openxmlformats.org/drawingml/2006/chartDrawing">
    <cdr:from>
      <cdr:x>0.6592</cdr:x>
      <cdr:y>0.01871</cdr:y>
    </cdr:from>
    <cdr:to>
      <cdr:x>0.77381</cdr:x>
      <cdr:y>0.10437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C3A5A848-6A23-C825-944C-B5D1EAECBF5E}"/>
            </a:ext>
          </a:extLst>
        </cdr:cNvPr>
        <cdr:cNvSpPr txBox="1"/>
      </cdr:nvSpPr>
      <cdr:spPr>
        <a:xfrm xmlns:a="http://schemas.openxmlformats.org/drawingml/2006/main">
          <a:off x="3013859" y="51317"/>
          <a:ext cx="524022" cy="234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27.3</a:t>
          </a:r>
        </a:p>
      </cdr:txBody>
    </cdr:sp>
  </cdr:relSizeAnchor>
  <cdr:relSizeAnchor xmlns:cdr="http://schemas.openxmlformats.org/drawingml/2006/chartDrawing">
    <cdr:from>
      <cdr:x>0.65543</cdr:x>
      <cdr:y>0.19182</cdr:y>
    </cdr:from>
    <cdr:to>
      <cdr:x>0.77004</cdr:x>
      <cdr:y>0.27748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26248DF-CB82-3C6D-F7A1-19D0816E84A1}"/>
            </a:ext>
          </a:extLst>
        </cdr:cNvPr>
        <cdr:cNvSpPr txBox="1"/>
      </cdr:nvSpPr>
      <cdr:spPr>
        <a:xfrm xmlns:a="http://schemas.openxmlformats.org/drawingml/2006/main">
          <a:off x="2996606" y="526191"/>
          <a:ext cx="524022" cy="234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19.7</a:t>
          </a:r>
        </a:p>
      </cdr:txBody>
    </cdr:sp>
  </cdr:relSizeAnchor>
  <cdr:relSizeAnchor xmlns:cdr="http://schemas.openxmlformats.org/drawingml/2006/chartDrawing">
    <cdr:from>
      <cdr:x>0.30191</cdr:x>
      <cdr:y>0.10258</cdr:y>
    </cdr:from>
    <cdr:to>
      <cdr:x>0.41652</cdr:x>
      <cdr:y>0.18825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000DAB1D-965E-9139-1B62-9F55C9034982}"/>
            </a:ext>
          </a:extLst>
        </cdr:cNvPr>
        <cdr:cNvSpPr txBox="1"/>
      </cdr:nvSpPr>
      <cdr:spPr>
        <a:xfrm xmlns:a="http://schemas.openxmlformats.org/drawingml/2006/main">
          <a:off x="1378687" y="278577"/>
          <a:ext cx="523400" cy="2326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23.8</a:t>
          </a:r>
        </a:p>
      </cdr:txBody>
    </cdr:sp>
  </cdr:relSizeAnchor>
  <cdr:relSizeAnchor xmlns:cdr="http://schemas.openxmlformats.org/drawingml/2006/chartDrawing">
    <cdr:from>
      <cdr:x>0.18093</cdr:x>
      <cdr:y>0.7148</cdr:y>
    </cdr:from>
    <cdr:to>
      <cdr:x>0.29554</cdr:x>
      <cdr:y>0.80046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62CFDE39-6FB5-D60E-DFEB-3DE1A5FBC212}"/>
            </a:ext>
          </a:extLst>
        </cdr:cNvPr>
        <cdr:cNvSpPr txBox="1"/>
      </cdr:nvSpPr>
      <cdr:spPr>
        <a:xfrm xmlns:a="http://schemas.openxmlformats.org/drawingml/2006/main">
          <a:off x="827199" y="1960837"/>
          <a:ext cx="524022" cy="234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0.4</a:t>
          </a:r>
        </a:p>
      </cdr:txBody>
    </cdr:sp>
  </cdr:relSizeAnchor>
  <cdr:relSizeAnchor xmlns:cdr="http://schemas.openxmlformats.org/drawingml/2006/chartDrawing">
    <cdr:from>
      <cdr:x>0.81025</cdr:x>
      <cdr:y>0.85391</cdr:y>
    </cdr:from>
    <cdr:to>
      <cdr:x>0.92487</cdr:x>
      <cdr:y>0.93958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EF903E96-EB69-D958-853E-B617A3D46329}"/>
            </a:ext>
          </a:extLst>
        </cdr:cNvPr>
        <cdr:cNvSpPr txBox="1"/>
      </cdr:nvSpPr>
      <cdr:spPr>
        <a:xfrm xmlns:a="http://schemas.openxmlformats.org/drawingml/2006/main">
          <a:off x="3700064" y="2318869"/>
          <a:ext cx="523400" cy="2326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-6.2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9C8B-BA59-4E87-849F-E737D2A855E2}">
  <dimension ref="A1:D27"/>
  <sheetViews>
    <sheetView topLeftCell="A7" zoomScale="136" zoomScaleNormal="146" workbookViewId="0">
      <selection activeCell="E28" sqref="E28:E30"/>
    </sheetView>
  </sheetViews>
  <sheetFormatPr defaultRowHeight="14.3" x14ac:dyDescent="0.25"/>
  <sheetData>
    <row r="1" spans="1:4" x14ac:dyDescent="0.25">
      <c r="A1" t="s">
        <v>5</v>
      </c>
      <c r="B1">
        <v>6.22</v>
      </c>
    </row>
    <row r="2" spans="1:4" x14ac:dyDescent="0.25">
      <c r="A2" s="1" t="s">
        <v>6</v>
      </c>
      <c r="B2">
        <v>6.22</v>
      </c>
    </row>
    <row r="3" spans="1:4" x14ac:dyDescent="0.25">
      <c r="B3">
        <v>6.22</v>
      </c>
    </row>
    <row r="4" spans="1:4" x14ac:dyDescent="0.25">
      <c r="A4" t="s">
        <v>3</v>
      </c>
      <c r="B4">
        <v>25.89</v>
      </c>
    </row>
    <row r="5" spans="1:4" x14ac:dyDescent="0.25">
      <c r="A5" t="s">
        <v>4</v>
      </c>
      <c r="B5">
        <v>25.89</v>
      </c>
    </row>
    <row r="6" spans="1:4" x14ac:dyDescent="0.25">
      <c r="B6">
        <v>25.89</v>
      </c>
    </row>
    <row r="7" spans="1:4" x14ac:dyDescent="0.25">
      <c r="A7" t="s">
        <v>0</v>
      </c>
      <c r="B7">
        <v>0</v>
      </c>
      <c r="D7">
        <v>0</v>
      </c>
    </row>
    <row r="8" spans="1:4" x14ac:dyDescent="0.25">
      <c r="A8" s="1" t="s">
        <v>1</v>
      </c>
      <c r="B8">
        <v>0</v>
      </c>
      <c r="D8">
        <v>0</v>
      </c>
    </row>
    <row r="9" spans="1:4" x14ac:dyDescent="0.25">
      <c r="A9" t="s">
        <v>2</v>
      </c>
      <c r="B9">
        <v>0</v>
      </c>
      <c r="D9">
        <v>0</v>
      </c>
    </row>
    <row r="10" spans="1:4" x14ac:dyDescent="0.25">
      <c r="A10" t="s">
        <v>9</v>
      </c>
      <c r="B10">
        <v>32.69</v>
      </c>
      <c r="C10" t="s">
        <v>11</v>
      </c>
      <c r="D10">
        <v>27.26</v>
      </c>
    </row>
    <row r="11" spans="1:4" x14ac:dyDescent="0.25">
      <c r="A11" t="s">
        <v>10</v>
      </c>
      <c r="B11">
        <v>32.69</v>
      </c>
      <c r="C11" t="s">
        <v>14</v>
      </c>
      <c r="D11">
        <v>27.26</v>
      </c>
    </row>
    <row r="12" spans="1:4" x14ac:dyDescent="0.25">
      <c r="B12">
        <v>32.69</v>
      </c>
      <c r="D12">
        <v>27.26</v>
      </c>
    </row>
    <row r="13" spans="1:4" x14ac:dyDescent="0.25">
      <c r="A13" t="s">
        <v>7</v>
      </c>
      <c r="B13">
        <v>-1.64</v>
      </c>
      <c r="C13" t="s">
        <v>13</v>
      </c>
      <c r="D13">
        <v>-16.63</v>
      </c>
    </row>
    <row r="14" spans="1:4" x14ac:dyDescent="0.25">
      <c r="A14" s="1" t="s">
        <v>8</v>
      </c>
      <c r="B14">
        <v>-1.64</v>
      </c>
      <c r="C14" s="1" t="s">
        <v>15</v>
      </c>
      <c r="D14">
        <v>-16.63</v>
      </c>
    </row>
    <row r="15" spans="1:4" x14ac:dyDescent="0.25">
      <c r="B15">
        <v>-1.64</v>
      </c>
      <c r="D15">
        <v>-16.63</v>
      </c>
    </row>
    <row r="16" spans="1:4" x14ac:dyDescent="0.25">
      <c r="A16" t="s">
        <v>12</v>
      </c>
      <c r="B16">
        <v>14.38</v>
      </c>
      <c r="C16" t="s">
        <v>16</v>
      </c>
      <c r="D16">
        <v>-5.3</v>
      </c>
    </row>
    <row r="17" spans="1:4" x14ac:dyDescent="0.25">
      <c r="A17" t="s">
        <v>20</v>
      </c>
      <c r="B17">
        <v>14.38</v>
      </c>
      <c r="C17" t="s">
        <v>17</v>
      </c>
      <c r="D17">
        <v>-5.3</v>
      </c>
    </row>
    <row r="18" spans="1:4" x14ac:dyDescent="0.25">
      <c r="B18">
        <v>14.38</v>
      </c>
      <c r="D18">
        <v>-5.3</v>
      </c>
    </row>
    <row r="19" spans="1:4" x14ac:dyDescent="0.25">
      <c r="A19" t="s">
        <v>21</v>
      </c>
      <c r="B19">
        <v>1.96</v>
      </c>
      <c r="C19" t="s">
        <v>19</v>
      </c>
      <c r="D19">
        <v>-14.95</v>
      </c>
    </row>
    <row r="20" spans="1:4" x14ac:dyDescent="0.25">
      <c r="A20" s="1" t="s">
        <v>22</v>
      </c>
      <c r="B20">
        <v>1.96</v>
      </c>
      <c r="C20" s="1" t="s">
        <v>18</v>
      </c>
      <c r="D20">
        <v>-14.95</v>
      </c>
    </row>
    <row r="21" spans="1:4" x14ac:dyDescent="0.25">
      <c r="B21">
        <v>1.96</v>
      </c>
      <c r="D21">
        <v>-14.95</v>
      </c>
    </row>
    <row r="22" spans="1:4" x14ac:dyDescent="0.25">
      <c r="A22" t="s">
        <v>25</v>
      </c>
      <c r="B22">
        <v>11.44</v>
      </c>
      <c r="C22" t="s">
        <v>27</v>
      </c>
      <c r="D22">
        <v>10.27</v>
      </c>
    </row>
    <row r="23" spans="1:4" x14ac:dyDescent="0.25">
      <c r="A23" t="s">
        <v>26</v>
      </c>
      <c r="B23">
        <v>11.44</v>
      </c>
      <c r="C23" t="s">
        <v>28</v>
      </c>
      <c r="D23">
        <v>10.27</v>
      </c>
    </row>
    <row r="24" spans="1:4" x14ac:dyDescent="0.25">
      <c r="B24">
        <v>11.44</v>
      </c>
      <c r="D24">
        <v>10.27</v>
      </c>
    </row>
    <row r="25" spans="1:4" x14ac:dyDescent="0.25">
      <c r="A25" t="s">
        <v>23</v>
      </c>
      <c r="B25">
        <v>3.92</v>
      </c>
      <c r="C25" t="s">
        <v>23</v>
      </c>
      <c r="D25">
        <v>3.92</v>
      </c>
    </row>
    <row r="26" spans="1:4" x14ac:dyDescent="0.25">
      <c r="A26" t="s">
        <v>24</v>
      </c>
      <c r="B26">
        <v>3.92</v>
      </c>
      <c r="C26" t="s">
        <v>24</v>
      </c>
      <c r="D26">
        <v>3.92</v>
      </c>
    </row>
    <row r="27" spans="1:4" x14ac:dyDescent="0.25">
      <c r="B27">
        <v>3.92</v>
      </c>
      <c r="D27">
        <v>3.92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96269-BDA9-4F01-8B1B-30691413FB55}">
  <dimension ref="A4:K42"/>
  <sheetViews>
    <sheetView zoomScale="110" zoomScaleNormal="121" workbookViewId="0">
      <selection activeCell="L30" sqref="L30"/>
    </sheetView>
  </sheetViews>
  <sheetFormatPr defaultRowHeight="14.3" x14ac:dyDescent="0.25"/>
  <cols>
    <col min="1" max="1" width="45.75" customWidth="1"/>
    <col min="5" max="5" width="20.5" customWidth="1"/>
  </cols>
  <sheetData>
    <row r="4" spans="1:2" x14ac:dyDescent="0.25">
      <c r="A4" t="s">
        <v>32</v>
      </c>
      <c r="B4">
        <f>3.92-6.59</f>
        <v>-2.67</v>
      </c>
    </row>
    <row r="5" spans="1:2" x14ac:dyDescent="0.25">
      <c r="A5" t="s">
        <v>24</v>
      </c>
      <c r="B5">
        <f t="shared" ref="B5:B6" si="0">3.92-6.59</f>
        <v>-2.67</v>
      </c>
    </row>
    <row r="6" spans="1:2" x14ac:dyDescent="0.25">
      <c r="B6">
        <f t="shared" si="0"/>
        <v>-2.67</v>
      </c>
    </row>
    <row r="7" spans="1:2" x14ac:dyDescent="0.25">
      <c r="A7" t="s">
        <v>31</v>
      </c>
      <c r="B7">
        <f>11.44-6.59</f>
        <v>4.8499999999999996</v>
      </c>
    </row>
    <row r="8" spans="1:2" x14ac:dyDescent="0.25">
      <c r="A8" t="s">
        <v>26</v>
      </c>
      <c r="B8">
        <f>11.44-6.59</f>
        <v>4.8499999999999996</v>
      </c>
    </row>
    <row r="9" spans="1:2" x14ac:dyDescent="0.25">
      <c r="B9">
        <f>11.44-6.59</f>
        <v>4.8499999999999996</v>
      </c>
    </row>
    <row r="10" spans="1:2" x14ac:dyDescent="0.25">
      <c r="A10" t="s">
        <v>30</v>
      </c>
      <c r="B10">
        <v>-4.63</v>
      </c>
    </row>
    <row r="11" spans="1:2" x14ac:dyDescent="0.25">
      <c r="A11" s="1" t="s">
        <v>22</v>
      </c>
      <c r="B11">
        <v>-4.63</v>
      </c>
    </row>
    <row r="12" spans="1:2" x14ac:dyDescent="0.25">
      <c r="B12">
        <v>-4.63</v>
      </c>
    </row>
    <row r="13" spans="1:2" x14ac:dyDescent="0.25">
      <c r="A13" t="s">
        <v>3</v>
      </c>
      <c r="B13">
        <v>24.69</v>
      </c>
    </row>
    <row r="14" spans="1:2" x14ac:dyDescent="0.25">
      <c r="A14" t="s">
        <v>33</v>
      </c>
      <c r="B14">
        <v>24.69</v>
      </c>
    </row>
    <row r="15" spans="1:2" x14ac:dyDescent="0.25">
      <c r="A15" t="s">
        <v>35</v>
      </c>
      <c r="B15">
        <v>24.69</v>
      </c>
    </row>
    <row r="16" spans="1:2" ht="19.7" customHeight="1" x14ac:dyDescent="0.25">
      <c r="A16" t="s">
        <v>0</v>
      </c>
      <c r="B16">
        <v>0</v>
      </c>
    </row>
    <row r="17" spans="1:11" x14ac:dyDescent="0.25">
      <c r="A17" s="1" t="s">
        <v>29</v>
      </c>
      <c r="B17">
        <v>0</v>
      </c>
      <c r="G17" s="1"/>
    </row>
    <row r="18" spans="1:11" x14ac:dyDescent="0.25">
      <c r="B18">
        <v>0</v>
      </c>
    </row>
    <row r="19" spans="1:11" x14ac:dyDescent="0.25">
      <c r="A19" t="s">
        <v>11</v>
      </c>
      <c r="B19">
        <v>20.47</v>
      </c>
    </row>
    <row r="20" spans="1:11" x14ac:dyDescent="0.25">
      <c r="A20" t="s">
        <v>36</v>
      </c>
      <c r="B20">
        <v>20.47</v>
      </c>
    </row>
    <row r="21" spans="1:11" x14ac:dyDescent="0.25">
      <c r="B21">
        <v>20.47</v>
      </c>
    </row>
    <row r="22" spans="1:11" x14ac:dyDescent="0.25">
      <c r="A22" t="s">
        <v>13</v>
      </c>
      <c r="B22">
        <v>-2.17</v>
      </c>
      <c r="C22" t="s">
        <v>13</v>
      </c>
      <c r="D22">
        <v>-2.17</v>
      </c>
      <c r="J22">
        <v>-271.01799316799998</v>
      </c>
      <c r="K22">
        <v>-271.05819450000001</v>
      </c>
    </row>
    <row r="23" spans="1:11" x14ac:dyDescent="0.25">
      <c r="A23" s="1" t="s">
        <v>37</v>
      </c>
      <c r="B23">
        <v>-2.17</v>
      </c>
      <c r="D23">
        <v>-2.17</v>
      </c>
      <c r="J23">
        <v>0.12832399999999999</v>
      </c>
      <c r="K23">
        <v>0.12918399999999999</v>
      </c>
    </row>
    <row r="24" spans="1:11" x14ac:dyDescent="0.25">
      <c r="B24">
        <v>-2.17</v>
      </c>
      <c r="D24">
        <v>-2.17</v>
      </c>
      <c r="J24">
        <f>SUM(J22:J23)</f>
        <v>-270.88966916799995</v>
      </c>
      <c r="K24">
        <f>SUM(K22:K23)</f>
        <v>-270.9290105</v>
      </c>
    </row>
    <row r="25" spans="1:11" x14ac:dyDescent="0.25">
      <c r="A25" t="s">
        <v>44</v>
      </c>
      <c r="B25">
        <v>14</v>
      </c>
      <c r="C25" t="s">
        <v>42</v>
      </c>
      <c r="D25">
        <v>3.91</v>
      </c>
      <c r="K25">
        <f>J24-K24</f>
        <v>3.9341332000049078E-2</v>
      </c>
    </row>
    <row r="26" spans="1:11" x14ac:dyDescent="0.25">
      <c r="A26" t="s">
        <v>45</v>
      </c>
      <c r="B26">
        <v>14</v>
      </c>
      <c r="C26" s="1" t="s">
        <v>41</v>
      </c>
      <c r="D26">
        <v>3.91</v>
      </c>
      <c r="K26">
        <f>K25*627.6</f>
        <v>24.690619963230802</v>
      </c>
    </row>
    <row r="27" spans="1:11" x14ac:dyDescent="0.25">
      <c r="B27">
        <v>14</v>
      </c>
      <c r="D27">
        <v>3.91</v>
      </c>
    </row>
    <row r="28" spans="1:11" x14ac:dyDescent="0.25">
      <c r="A28" t="s">
        <v>43</v>
      </c>
      <c r="B28">
        <v>-23.18</v>
      </c>
      <c r="C28" t="s">
        <v>39</v>
      </c>
      <c r="D28">
        <v>-24.09</v>
      </c>
    </row>
    <row r="29" spans="1:11" x14ac:dyDescent="0.25">
      <c r="B29">
        <v>-23.18</v>
      </c>
      <c r="C29" s="1" t="s">
        <v>40</v>
      </c>
      <c r="D29">
        <v>-24.09</v>
      </c>
      <c r="G29" s="1"/>
    </row>
    <row r="30" spans="1:11" x14ac:dyDescent="0.25">
      <c r="B30">
        <v>-23.18</v>
      </c>
      <c r="D30">
        <v>-24.09</v>
      </c>
    </row>
    <row r="31" spans="1:11" x14ac:dyDescent="0.25">
      <c r="A31" t="s">
        <v>46</v>
      </c>
      <c r="B31">
        <f>-5.3-6.59</f>
        <v>-11.89</v>
      </c>
    </row>
    <row r="32" spans="1:11" x14ac:dyDescent="0.25">
      <c r="A32" t="s">
        <v>17</v>
      </c>
      <c r="B32">
        <f>-5.3-6.59</f>
        <v>-11.89</v>
      </c>
      <c r="K32" t="s">
        <v>34</v>
      </c>
    </row>
    <row r="33" spans="1:2" x14ac:dyDescent="0.25">
      <c r="B33">
        <f>-5.3-6.59</f>
        <v>-11.89</v>
      </c>
    </row>
    <row r="34" spans="1:2" x14ac:dyDescent="0.25">
      <c r="A34" t="s">
        <v>47</v>
      </c>
      <c r="B34">
        <f>-14.95-6.59</f>
        <v>-21.54</v>
      </c>
    </row>
    <row r="35" spans="1:2" x14ac:dyDescent="0.25">
      <c r="A35" s="1" t="s">
        <v>18</v>
      </c>
      <c r="B35">
        <f>-14.95-6.59</f>
        <v>-21.54</v>
      </c>
    </row>
    <row r="36" spans="1:2" x14ac:dyDescent="0.25">
      <c r="B36">
        <f>-14.95-6.59</f>
        <v>-21.54</v>
      </c>
    </row>
    <row r="37" spans="1:2" x14ac:dyDescent="0.25">
      <c r="A37" t="s">
        <v>48</v>
      </c>
      <c r="B37">
        <f>-6.59+10.27</f>
        <v>3.6799999999999997</v>
      </c>
    </row>
    <row r="38" spans="1:2" x14ac:dyDescent="0.25">
      <c r="A38" t="s">
        <v>28</v>
      </c>
      <c r="B38">
        <f>-6.59+10.27</f>
        <v>3.6799999999999997</v>
      </c>
    </row>
    <row r="39" spans="1:2" x14ac:dyDescent="0.25">
      <c r="B39">
        <f>-6.59+10.27</f>
        <v>3.6799999999999997</v>
      </c>
    </row>
    <row r="40" spans="1:2" x14ac:dyDescent="0.25">
      <c r="A40" t="s">
        <v>32</v>
      </c>
      <c r="B40">
        <f>-6.59+3.92</f>
        <v>-2.67</v>
      </c>
    </row>
    <row r="41" spans="1:2" x14ac:dyDescent="0.25">
      <c r="A41" t="s">
        <v>24</v>
      </c>
      <c r="B41">
        <f>-6.59+3.92</f>
        <v>-2.67</v>
      </c>
    </row>
    <row r="42" spans="1:2" x14ac:dyDescent="0.25">
      <c r="B42">
        <f>-6.59+3.92</f>
        <v>-2.67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90D69-4CE9-4B4A-85D9-B2A313B6D5F8}">
  <dimension ref="A1:D18"/>
  <sheetViews>
    <sheetView tabSelected="1" topLeftCell="A3" zoomScale="110" workbookViewId="0">
      <selection activeCell="B18" sqref="B18"/>
    </sheetView>
  </sheetViews>
  <sheetFormatPr defaultRowHeight="14.3" x14ac:dyDescent="0.25"/>
  <sheetData>
    <row r="1" spans="1:4" x14ac:dyDescent="0.25">
      <c r="A1" t="s">
        <v>5</v>
      </c>
      <c r="B1">
        <v>0.37</v>
      </c>
    </row>
    <row r="2" spans="1:4" x14ac:dyDescent="0.25">
      <c r="A2" s="1" t="s">
        <v>29</v>
      </c>
      <c r="B2">
        <v>0.37</v>
      </c>
    </row>
    <row r="3" spans="1:4" x14ac:dyDescent="0.25">
      <c r="B3">
        <v>0.37</v>
      </c>
    </row>
    <row r="4" spans="1:4" x14ac:dyDescent="0.25">
      <c r="A4" t="s">
        <v>3</v>
      </c>
      <c r="B4">
        <v>23.82</v>
      </c>
    </row>
    <row r="5" spans="1:4" x14ac:dyDescent="0.25">
      <c r="A5" t="s">
        <v>49</v>
      </c>
      <c r="B5">
        <v>23.82</v>
      </c>
    </row>
    <row r="6" spans="1:4" x14ac:dyDescent="0.25">
      <c r="B6">
        <v>23.82</v>
      </c>
    </row>
    <row r="7" spans="1:4" x14ac:dyDescent="0.25">
      <c r="A7" t="s">
        <v>0</v>
      </c>
      <c r="B7">
        <v>0</v>
      </c>
      <c r="C7" t="s">
        <v>0</v>
      </c>
      <c r="D7">
        <v>0</v>
      </c>
    </row>
    <row r="8" spans="1:4" x14ac:dyDescent="0.25">
      <c r="A8" s="1" t="s">
        <v>6</v>
      </c>
      <c r="B8">
        <v>0</v>
      </c>
      <c r="C8" s="1" t="s">
        <v>6</v>
      </c>
      <c r="D8">
        <v>0</v>
      </c>
    </row>
    <row r="9" spans="1:4" x14ac:dyDescent="0.25">
      <c r="B9">
        <v>0</v>
      </c>
      <c r="D9">
        <v>0</v>
      </c>
    </row>
    <row r="10" spans="1:4" x14ac:dyDescent="0.25">
      <c r="A10" t="s">
        <v>9</v>
      </c>
      <c r="B10">
        <v>19.670000000000002</v>
      </c>
      <c r="C10" t="s">
        <v>12</v>
      </c>
      <c r="D10">
        <v>27.25</v>
      </c>
    </row>
    <row r="11" spans="1:4" x14ac:dyDescent="0.25">
      <c r="A11" t="s">
        <v>50</v>
      </c>
      <c r="B11">
        <v>19.670000000000002</v>
      </c>
      <c r="C11" t="s">
        <v>52</v>
      </c>
      <c r="D11">
        <v>27.25</v>
      </c>
    </row>
    <row r="12" spans="1:4" x14ac:dyDescent="0.25">
      <c r="B12">
        <v>19.670000000000002</v>
      </c>
      <c r="D12">
        <v>27.25</v>
      </c>
    </row>
    <row r="13" spans="1:4" x14ac:dyDescent="0.25">
      <c r="A13" t="s">
        <v>7</v>
      </c>
      <c r="B13">
        <v>-6.21</v>
      </c>
      <c r="C13" t="s">
        <v>38</v>
      </c>
      <c r="D13">
        <v>21.61</v>
      </c>
    </row>
    <row r="14" spans="1:4" x14ac:dyDescent="0.25">
      <c r="B14">
        <v>-6.21</v>
      </c>
      <c r="C14" t="s">
        <v>51</v>
      </c>
      <c r="D14">
        <v>21.61</v>
      </c>
    </row>
    <row r="15" spans="1:4" x14ac:dyDescent="0.25">
      <c r="B15">
        <v>-6.21</v>
      </c>
      <c r="D15">
        <v>21.61</v>
      </c>
    </row>
    <row r="18" spans="3:3" x14ac:dyDescent="0.25">
      <c r="C18">
        <f>B15-B3</f>
        <v>-6.58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EOR1</vt:lpstr>
      <vt:lpstr>EOR2</vt:lpstr>
      <vt:lpstr>EOR5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Doner</dc:creator>
  <cp:lastModifiedBy>Anna Doner</cp:lastModifiedBy>
  <dcterms:created xsi:type="dcterms:W3CDTF">2025-11-17T16:38:55Z</dcterms:created>
  <dcterms:modified xsi:type="dcterms:W3CDTF">2025-11-17T21:19:35Z</dcterms:modified>
</cp:coreProperties>
</file>