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er\OneDrive\Desktop\"/>
    </mc:Choice>
  </mc:AlternateContent>
  <xr:revisionPtr revIDLastSave="0" documentId="13_ncr:1_{07D14D1A-2A48-46E5-AD8A-68E20C1ACC3B}" xr6:coauthVersionLast="47" xr6:coauthVersionMax="47" xr10:uidLastSave="{00000000-0000-0000-0000-000000000000}"/>
  <bookViews>
    <workbookView xWindow="0" yWindow="0" windowWidth="13042" windowHeight="15718" xr2:uid="{8DC649EA-AE8A-4493-A98D-F6EF94BE48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J25" i="1"/>
  <c r="I25" i="1"/>
  <c r="H25" i="1"/>
  <c r="G25" i="1"/>
  <c r="F25" i="1"/>
  <c r="E25" i="1"/>
  <c r="D25" i="1"/>
  <c r="C25" i="1"/>
  <c r="J21" i="1"/>
  <c r="I21" i="1"/>
  <c r="H21" i="1"/>
  <c r="G21" i="1"/>
  <c r="F21" i="1"/>
  <c r="E21" i="1"/>
  <c r="D21" i="1"/>
  <c r="C21" i="1"/>
  <c r="J18" i="1"/>
  <c r="I18" i="1"/>
  <c r="H18" i="1"/>
  <c r="G18" i="1"/>
  <c r="F18" i="1"/>
  <c r="E18" i="1"/>
  <c r="D18" i="1"/>
  <c r="C18" i="1"/>
  <c r="J14" i="1"/>
  <c r="I14" i="1"/>
  <c r="H14" i="1"/>
  <c r="G14" i="1"/>
  <c r="F14" i="1"/>
  <c r="E14" i="1"/>
  <c r="D14" i="1"/>
  <c r="C14" i="1"/>
  <c r="J11" i="1"/>
  <c r="I11" i="1"/>
  <c r="H11" i="1"/>
  <c r="G11" i="1"/>
  <c r="F11" i="1"/>
  <c r="E11" i="1"/>
  <c r="D11" i="1"/>
  <c r="C11" i="1"/>
  <c r="J7" i="1"/>
  <c r="I7" i="1"/>
  <c r="H7" i="1"/>
  <c r="G7" i="1"/>
  <c r="F7" i="1"/>
  <c r="E7" i="1"/>
  <c r="D7" i="1"/>
  <c r="C7" i="1"/>
  <c r="J4" i="1"/>
  <c r="I4" i="1"/>
  <c r="H4" i="1"/>
  <c r="G4" i="1"/>
  <c r="F4" i="1"/>
  <c r="E4" i="1"/>
  <c r="D4" i="1"/>
  <c r="C4" i="1"/>
  <c r="J175" i="1"/>
  <c r="I175" i="1"/>
  <c r="H175" i="1"/>
  <c r="G175" i="1"/>
  <c r="F175" i="1"/>
  <c r="E175" i="1"/>
  <c r="D175" i="1"/>
  <c r="C175" i="1"/>
  <c r="J172" i="1"/>
  <c r="I172" i="1"/>
  <c r="H172" i="1"/>
  <c r="G172" i="1"/>
  <c r="F172" i="1"/>
  <c r="E172" i="1"/>
  <c r="D172" i="1"/>
  <c r="C172" i="1"/>
  <c r="J168" i="1"/>
  <c r="I168" i="1"/>
  <c r="H168" i="1"/>
  <c r="G168" i="1"/>
  <c r="F168" i="1"/>
  <c r="E168" i="1"/>
  <c r="D168" i="1"/>
  <c r="C168" i="1"/>
  <c r="J165" i="1"/>
  <c r="I165" i="1"/>
  <c r="H165" i="1"/>
  <c r="G165" i="1"/>
  <c r="F165" i="1"/>
  <c r="E165" i="1"/>
  <c r="D165" i="1"/>
  <c r="C165" i="1"/>
  <c r="J161" i="1"/>
  <c r="I161" i="1"/>
  <c r="H161" i="1"/>
  <c r="G161" i="1"/>
  <c r="F161" i="1"/>
  <c r="E161" i="1"/>
  <c r="D161" i="1"/>
  <c r="C161" i="1"/>
  <c r="J158" i="1"/>
  <c r="I158" i="1"/>
  <c r="H158" i="1"/>
  <c r="G158" i="1"/>
  <c r="F158" i="1"/>
  <c r="E158" i="1"/>
  <c r="D158" i="1"/>
  <c r="C158" i="1"/>
  <c r="D154" i="1"/>
  <c r="C154" i="1"/>
  <c r="D151" i="1"/>
  <c r="C151" i="1"/>
  <c r="J147" i="1"/>
  <c r="I147" i="1"/>
  <c r="H147" i="1"/>
  <c r="G147" i="1"/>
  <c r="F147" i="1"/>
  <c r="E147" i="1"/>
  <c r="D147" i="1"/>
  <c r="C147" i="1"/>
  <c r="J144" i="1"/>
  <c r="I144" i="1"/>
  <c r="H144" i="1"/>
  <c r="G144" i="1"/>
  <c r="F144" i="1"/>
  <c r="E144" i="1"/>
  <c r="D144" i="1"/>
  <c r="C144" i="1"/>
  <c r="J140" i="1"/>
  <c r="I140" i="1"/>
  <c r="H140" i="1"/>
  <c r="G140" i="1"/>
  <c r="F140" i="1"/>
  <c r="E140" i="1"/>
  <c r="D140" i="1"/>
  <c r="C140" i="1"/>
  <c r="J137" i="1"/>
  <c r="I137" i="1"/>
  <c r="H137" i="1"/>
  <c r="G137" i="1"/>
  <c r="F137" i="1"/>
  <c r="E137" i="1"/>
  <c r="D137" i="1"/>
  <c r="C137" i="1"/>
  <c r="J133" i="1"/>
  <c r="I133" i="1"/>
  <c r="H133" i="1"/>
  <c r="G133" i="1"/>
  <c r="F133" i="1"/>
  <c r="E133" i="1"/>
  <c r="D133" i="1"/>
  <c r="C133" i="1"/>
  <c r="J130" i="1"/>
  <c r="I130" i="1"/>
  <c r="H130" i="1"/>
  <c r="G130" i="1"/>
  <c r="F130" i="1"/>
  <c r="E130" i="1"/>
  <c r="D130" i="1"/>
  <c r="C130" i="1"/>
  <c r="F98" i="1"/>
  <c r="J95" i="1"/>
  <c r="I95" i="1"/>
  <c r="H95" i="1"/>
  <c r="G95" i="1"/>
  <c r="F95" i="1"/>
  <c r="E95" i="1"/>
  <c r="D95" i="1"/>
  <c r="C95" i="1"/>
  <c r="J98" i="1"/>
  <c r="I98" i="1"/>
  <c r="H98" i="1"/>
  <c r="G98" i="1"/>
  <c r="E98" i="1"/>
  <c r="D98" i="1"/>
  <c r="C98" i="1"/>
  <c r="K119" i="1"/>
  <c r="J119" i="1"/>
  <c r="I119" i="1"/>
  <c r="H119" i="1"/>
  <c r="G119" i="1"/>
  <c r="F119" i="1"/>
  <c r="E119" i="1"/>
  <c r="D119" i="1"/>
  <c r="C119" i="1"/>
  <c r="C116" i="1"/>
  <c r="D116" i="1"/>
  <c r="E116" i="1"/>
  <c r="F116" i="1"/>
  <c r="G116" i="1"/>
  <c r="H116" i="1"/>
  <c r="I116" i="1"/>
  <c r="J116" i="1"/>
  <c r="K116" i="1"/>
  <c r="J112" i="1"/>
  <c r="I112" i="1"/>
  <c r="H112" i="1"/>
  <c r="G112" i="1"/>
  <c r="F112" i="1"/>
  <c r="E112" i="1"/>
  <c r="D112" i="1"/>
  <c r="C112" i="1"/>
  <c r="J126" i="1"/>
  <c r="I126" i="1"/>
  <c r="H126" i="1"/>
  <c r="G126" i="1"/>
  <c r="F126" i="1"/>
  <c r="E126" i="1"/>
  <c r="D126" i="1"/>
  <c r="C126" i="1"/>
  <c r="J123" i="1"/>
  <c r="I123" i="1"/>
  <c r="H123" i="1"/>
  <c r="G123" i="1"/>
  <c r="F123" i="1"/>
  <c r="E123" i="1"/>
  <c r="D123" i="1"/>
  <c r="C123" i="1"/>
  <c r="J109" i="1"/>
  <c r="I109" i="1"/>
  <c r="H109" i="1"/>
  <c r="G109" i="1"/>
  <c r="F109" i="1"/>
  <c r="E109" i="1"/>
  <c r="D109" i="1"/>
  <c r="C109" i="1"/>
  <c r="J105" i="1"/>
  <c r="I105" i="1"/>
  <c r="H105" i="1"/>
  <c r="G105" i="1"/>
  <c r="F105" i="1"/>
  <c r="E105" i="1"/>
  <c r="D105" i="1"/>
  <c r="C105" i="1"/>
  <c r="J102" i="1"/>
  <c r="I102" i="1"/>
  <c r="H102" i="1"/>
  <c r="G102" i="1"/>
  <c r="F102" i="1"/>
  <c r="E102" i="1"/>
  <c r="D102" i="1"/>
  <c r="C102" i="1"/>
  <c r="J91" i="1"/>
  <c r="I91" i="1"/>
  <c r="H91" i="1"/>
  <c r="G91" i="1"/>
  <c r="F91" i="1"/>
  <c r="E91" i="1"/>
  <c r="D91" i="1"/>
  <c r="C91" i="1"/>
  <c r="J88" i="1"/>
  <c r="I88" i="1"/>
  <c r="H88" i="1"/>
  <c r="G88" i="1"/>
  <c r="F88" i="1"/>
  <c r="E88" i="1"/>
  <c r="D88" i="1"/>
  <c r="C88" i="1"/>
  <c r="J84" i="1"/>
  <c r="I84" i="1"/>
  <c r="H84" i="1"/>
  <c r="G84" i="1"/>
  <c r="F84" i="1"/>
  <c r="E84" i="1"/>
  <c r="D84" i="1"/>
  <c r="C84" i="1"/>
  <c r="J81" i="1"/>
  <c r="I81" i="1"/>
  <c r="H81" i="1"/>
  <c r="G81" i="1"/>
  <c r="F81" i="1"/>
  <c r="E81" i="1"/>
  <c r="D81" i="1"/>
  <c r="C81" i="1"/>
  <c r="J77" i="1"/>
  <c r="I77" i="1"/>
  <c r="H77" i="1"/>
  <c r="G77" i="1"/>
  <c r="F77" i="1"/>
  <c r="E77" i="1"/>
  <c r="D77" i="1"/>
  <c r="C77" i="1"/>
  <c r="J74" i="1"/>
  <c r="I74" i="1"/>
  <c r="H74" i="1"/>
  <c r="G74" i="1"/>
  <c r="F74" i="1"/>
  <c r="E74" i="1"/>
  <c r="D74" i="1"/>
  <c r="C74" i="1"/>
  <c r="J70" i="1"/>
  <c r="I70" i="1"/>
  <c r="H70" i="1"/>
  <c r="G70" i="1"/>
  <c r="F70" i="1"/>
  <c r="E70" i="1"/>
  <c r="D70" i="1"/>
  <c r="C70" i="1"/>
  <c r="J67" i="1"/>
  <c r="I67" i="1"/>
  <c r="H67" i="1"/>
  <c r="G67" i="1"/>
  <c r="F67" i="1"/>
  <c r="E67" i="1"/>
  <c r="D67" i="1"/>
  <c r="C67" i="1"/>
  <c r="J63" i="1"/>
  <c r="I63" i="1"/>
  <c r="H63" i="1"/>
  <c r="G63" i="1"/>
  <c r="F63" i="1"/>
  <c r="E63" i="1"/>
  <c r="D63" i="1"/>
  <c r="C63" i="1"/>
  <c r="J60" i="1"/>
  <c r="I60" i="1"/>
  <c r="H60" i="1"/>
  <c r="G60" i="1"/>
  <c r="F60" i="1"/>
  <c r="E60" i="1"/>
  <c r="D60" i="1"/>
  <c r="C60" i="1"/>
  <c r="J56" i="1"/>
  <c r="I56" i="1"/>
  <c r="H56" i="1"/>
  <c r="G56" i="1"/>
  <c r="F56" i="1"/>
  <c r="E56" i="1"/>
  <c r="D56" i="1"/>
  <c r="C56" i="1"/>
  <c r="J53" i="1"/>
  <c r="I53" i="1"/>
  <c r="H53" i="1"/>
  <c r="G53" i="1"/>
  <c r="F53" i="1"/>
  <c r="E53" i="1"/>
  <c r="D53" i="1"/>
  <c r="C53" i="1"/>
  <c r="J28" i="1"/>
  <c r="I28" i="1"/>
  <c r="G28" i="1"/>
  <c r="F28" i="1"/>
  <c r="E28" i="1"/>
  <c r="D28" i="1"/>
  <c r="C28" i="1"/>
  <c r="J32" i="1"/>
  <c r="I32" i="1"/>
  <c r="H32" i="1"/>
  <c r="G32" i="1"/>
  <c r="F32" i="1"/>
  <c r="E32" i="1"/>
  <c r="D32" i="1"/>
  <c r="C32" i="1"/>
  <c r="J35" i="1"/>
  <c r="I35" i="1"/>
  <c r="H35" i="1"/>
  <c r="G35" i="1"/>
  <c r="F35" i="1"/>
  <c r="E35" i="1"/>
  <c r="D35" i="1"/>
  <c r="C35" i="1"/>
  <c r="J39" i="1"/>
  <c r="I39" i="1"/>
  <c r="H39" i="1"/>
  <c r="G39" i="1"/>
  <c r="F39" i="1"/>
  <c r="E39" i="1"/>
  <c r="D39" i="1"/>
  <c r="C39" i="1"/>
  <c r="J42" i="1"/>
  <c r="I42" i="1"/>
  <c r="H42" i="1"/>
  <c r="G42" i="1"/>
  <c r="F42" i="1"/>
  <c r="E42" i="1"/>
  <c r="D42" i="1"/>
  <c r="C42" i="1"/>
  <c r="J46" i="1"/>
  <c r="I46" i="1"/>
  <c r="H46" i="1"/>
  <c r="G46" i="1"/>
  <c r="F46" i="1"/>
  <c r="E46" i="1"/>
  <c r="D46" i="1"/>
  <c r="C46" i="1"/>
  <c r="J49" i="1"/>
  <c r="I49" i="1"/>
  <c r="H49" i="1"/>
  <c r="G49" i="1"/>
  <c r="F49" i="1"/>
  <c r="E49" i="1"/>
  <c r="D49" i="1"/>
  <c r="C49" i="1"/>
</calcChain>
</file>

<file path=xl/sharedStrings.xml><?xml version="1.0" encoding="utf-8"?>
<sst xmlns="http://schemas.openxmlformats.org/spreadsheetml/2006/main" count="483" uniqueCount="39">
  <si>
    <t>From\To</t>
  </si>
  <si>
    <t>w_1</t>
  </si>
  <si>
    <t>w_2</t>
  </si>
  <si>
    <t>w_3</t>
  </si>
  <si>
    <t>w_4</t>
  </si>
  <si>
    <t>***</t>
  </si>
  <si>
    <t>852694064864242701362</t>
  </si>
  <si>
    <t>852413092641891300572</t>
  </si>
  <si>
    <t>w_5</t>
  </si>
  <si>
    <t>w_6</t>
  </si>
  <si>
    <t>b_2</t>
  </si>
  <si>
    <t>b_4</t>
  </si>
  <si>
    <t>b_1</t>
  </si>
  <si>
    <t>b_3</t>
  </si>
  <si>
    <t>t_1</t>
  </si>
  <si>
    <t>852654355044252600692</t>
  </si>
  <si>
    <t>852413203252350690002</t>
  </si>
  <si>
    <t>852452912421851360792</t>
  </si>
  <si>
    <t>852413243072270790122</t>
  </si>
  <si>
    <t>852413132451871410632</t>
  </si>
  <si>
    <t>w_7</t>
  </si>
  <si>
    <t>852452982411871350782</t>
  </si>
  <si>
    <t>852694214994522781102</t>
  </si>
  <si>
    <t>852413132601871260632</t>
  </si>
  <si>
    <t xml:space="preserve">852452952341871360812 </t>
  </si>
  <si>
    <t>852452952401811380792</t>
  </si>
  <si>
    <t>852452802361851360902</t>
  </si>
  <si>
    <t>852413132901871410182</t>
  </si>
  <si>
    <t>852694064854943561432</t>
  </si>
  <si>
    <t>852413203362430500002</t>
  </si>
  <si>
    <t>852413073252480690002</t>
  </si>
  <si>
    <t>852413093092340850122</t>
  </si>
  <si>
    <t>852694104544172771082</t>
  </si>
  <si>
    <t>852453093031931240162</t>
  </si>
  <si>
    <t>852453092972420850122</t>
  </si>
  <si>
    <t>852694315705282220222</t>
  </si>
  <si>
    <t>852453053192460710042</t>
  </si>
  <si>
    <t>852412982902470960182</t>
  </si>
  <si>
    <t>852452943012490890122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</si>
</sst>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quotePrefix="1"/>
    <xf numFmtId="0" fontId="1" fillId="0" borderId="0" xfId="0" quotePrefix="1" applyFont="1"/>
  </cellXfs>
  <cellStyles count="1">
    <cellStyle name="Normal" xfId="0" builtinId="0"/>
  </cellStyles>
  <dxfs count="55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C233-BA1F-4CE0-8DE5-E16E08E78F9D}">
  <dimension ref="A1:L175"/>
  <sheetViews>
    <sheetView tabSelected="1" zoomScale="123" workbookViewId="0">
      <selection activeCell="H2" sqref="H2"/>
    </sheetView>
  </sheetViews>
  <sheetFormatPr defaultRowHeight="14.3" x14ac:dyDescent="0.25"/>
  <cols>
    <col min="1" max="1" width="11.875" bestFit="1" customWidth="1"/>
  </cols>
  <sheetData>
    <row r="1" spans="1:12" x14ac:dyDescent="0.25">
      <c r="A1" s="2" t="s">
        <v>6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12" x14ac:dyDescent="0.25">
      <c r="A3" t="s">
        <v>1</v>
      </c>
      <c r="B3" t="s">
        <v>5</v>
      </c>
      <c r="C3">
        <v>1.4214299999999999E-2</v>
      </c>
      <c r="D3" s="1">
        <v>1.16051E-6</v>
      </c>
      <c r="E3">
        <v>41.033999999999999</v>
      </c>
    </row>
    <row r="4" spans="1:12" x14ac:dyDescent="0.25">
      <c r="C4">
        <f>C3/SUM(3:3)*100</f>
        <v>3.4628301962784998E-2</v>
      </c>
      <c r="D4">
        <f t="shared" ref="D4:J4" si="0">D3/SUM(3:3)*100</f>
        <v>2.8271874598701042E-6</v>
      </c>
      <c r="E4">
        <f t="shared" si="0"/>
        <v>99.965368870849744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</row>
    <row r="5" spans="1:1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</row>
    <row r="6" spans="1:12" x14ac:dyDescent="0.25">
      <c r="A6" t="s">
        <v>1</v>
      </c>
      <c r="B6" t="s">
        <v>5</v>
      </c>
      <c r="C6">
        <v>554693</v>
      </c>
      <c r="D6">
        <v>778929</v>
      </c>
      <c r="E6" s="1">
        <v>13122200</v>
      </c>
    </row>
    <row r="7" spans="1:12" x14ac:dyDescent="0.25">
      <c r="C7">
        <f>C6/SUM(6:6)*100</f>
        <v>3.8371598654161629</v>
      </c>
      <c r="D7">
        <f t="shared" ref="D7:J7" si="1">D6/SUM(6:6)*100</f>
        <v>5.3883411126672698</v>
      </c>
      <c r="E7">
        <f t="shared" si="1"/>
        <v>90.774499021916569</v>
      </c>
      <c r="F7">
        <f t="shared" si="1"/>
        <v>0</v>
      </c>
      <c r="G7">
        <f t="shared" si="1"/>
        <v>0</v>
      </c>
      <c r="H7">
        <f t="shared" si="1"/>
        <v>0</v>
      </c>
      <c r="I7">
        <f t="shared" si="1"/>
        <v>0</v>
      </c>
      <c r="J7">
        <f t="shared" si="1"/>
        <v>0</v>
      </c>
    </row>
    <row r="8" spans="1:12" x14ac:dyDescent="0.25">
      <c r="A8" s="2" t="s">
        <v>7</v>
      </c>
    </row>
    <row r="9" spans="1:12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8</v>
      </c>
      <c r="G9" t="s">
        <v>9</v>
      </c>
      <c r="H9" t="s">
        <v>10</v>
      </c>
      <c r="I9" t="s">
        <v>11</v>
      </c>
      <c r="J9" t="s">
        <v>12</v>
      </c>
      <c r="K9" t="s">
        <v>13</v>
      </c>
      <c r="L9" t="s">
        <v>14</v>
      </c>
    </row>
    <row r="10" spans="1:12" x14ac:dyDescent="0.25">
      <c r="A10" t="s">
        <v>1</v>
      </c>
      <c r="B10" t="s">
        <v>5</v>
      </c>
      <c r="C10">
        <v>3.06495E-4</v>
      </c>
      <c r="D10" s="1">
        <v>3.4945299999999999E-9</v>
      </c>
      <c r="E10" s="1">
        <v>3.68826E-7</v>
      </c>
      <c r="F10" s="1">
        <v>6.3464400000000003E-10</v>
      </c>
      <c r="G10">
        <v>164404</v>
      </c>
      <c r="H10" s="1">
        <v>6.3227000000000003E-10</v>
      </c>
      <c r="I10" s="1">
        <v>5.8858399999999998E-11</v>
      </c>
      <c r="J10">
        <v>2.4848700000000001E-3</v>
      </c>
      <c r="K10" s="1">
        <v>1.9245200000000001E-6</v>
      </c>
      <c r="L10" s="1">
        <v>1.5632599999999999E-7</v>
      </c>
    </row>
    <row r="11" spans="1:12" x14ac:dyDescent="0.25">
      <c r="C11">
        <f>C10/SUM(10:10)*100</f>
        <v>1.8642794262398713E-7</v>
      </c>
      <c r="D11">
        <f t="shared" ref="D11:J11" si="2">D10/SUM(10:10)*100</f>
        <v>2.1255747674115458E-12</v>
      </c>
      <c r="E11">
        <f t="shared" si="2"/>
        <v>2.2434125309135444E-10</v>
      </c>
      <c r="F11">
        <f t="shared" si="2"/>
        <v>3.8602709740340853E-13</v>
      </c>
      <c r="G11">
        <f t="shared" si="2"/>
        <v>99.999998300637799</v>
      </c>
      <c r="H11">
        <f t="shared" si="2"/>
        <v>3.8458309363241922E-13</v>
      </c>
      <c r="I11">
        <f t="shared" si="2"/>
        <v>3.5801074791235363E-14</v>
      </c>
      <c r="J11">
        <f t="shared" si="2"/>
        <v>1.5114413017767564E-6</v>
      </c>
    </row>
    <row r="12" spans="1:12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8</v>
      </c>
      <c r="G12" t="s">
        <v>9</v>
      </c>
      <c r="H12" t="s">
        <v>10</v>
      </c>
      <c r="I12" t="s">
        <v>11</v>
      </c>
      <c r="J12" t="s">
        <v>12</v>
      </c>
      <c r="K12" t="s">
        <v>13</v>
      </c>
      <c r="L12" t="s">
        <v>14</v>
      </c>
    </row>
    <row r="13" spans="1:12" x14ac:dyDescent="0.25">
      <c r="A13" t="s">
        <v>1</v>
      </c>
      <c r="B13" t="s">
        <v>5</v>
      </c>
      <c r="C13">
        <v>141432</v>
      </c>
      <c r="D13">
        <v>4324.75</v>
      </c>
      <c r="E13">
        <v>6005.38</v>
      </c>
      <c r="F13">
        <v>499.58100000000002</v>
      </c>
      <c r="G13" s="1">
        <v>169472000</v>
      </c>
      <c r="H13">
        <v>4164.6099999999997</v>
      </c>
      <c r="I13">
        <v>1946.05</v>
      </c>
      <c r="J13">
        <v>774275</v>
      </c>
      <c r="K13">
        <v>310379</v>
      </c>
      <c r="L13">
        <v>23076.9</v>
      </c>
    </row>
    <row r="14" spans="1:12" x14ac:dyDescent="0.25">
      <c r="C14">
        <f>C13/SUM(13:13)*100</f>
        <v>8.2835639667096103E-2</v>
      </c>
      <c r="D14">
        <f t="shared" ref="D14:J14" si="3">D13/SUM(13:13)*100</f>
        <v>2.5329729668694062E-3</v>
      </c>
      <c r="E14">
        <f t="shared" si="3"/>
        <v>3.5173050918037327E-3</v>
      </c>
      <c r="F14">
        <f t="shared" si="3"/>
        <v>2.926007671568495E-4</v>
      </c>
      <c r="G14">
        <f t="shared" si="3"/>
        <v>99.258453006830919</v>
      </c>
      <c r="H14">
        <f t="shared" si="3"/>
        <v>2.4391801948214342E-3</v>
      </c>
      <c r="I14">
        <f t="shared" si="3"/>
        <v>1.1397865870110891E-3</v>
      </c>
      <c r="J14">
        <f t="shared" si="3"/>
        <v>0.45348694003648987</v>
      </c>
    </row>
    <row r="15" spans="1:12" x14ac:dyDescent="0.25">
      <c r="A15" s="2" t="s">
        <v>15</v>
      </c>
    </row>
    <row r="16" spans="1:12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</row>
    <row r="17" spans="1:10" x14ac:dyDescent="0.25">
      <c r="A17" t="s">
        <v>1</v>
      </c>
      <c r="B17" t="s">
        <v>5</v>
      </c>
      <c r="C17">
        <v>0.13724900000000001</v>
      </c>
      <c r="D17" s="1">
        <v>1085570000000</v>
      </c>
      <c r="E17" s="1">
        <v>6243250000000</v>
      </c>
    </row>
    <row r="18" spans="1:10" x14ac:dyDescent="0.25">
      <c r="C18">
        <f>C17/SUM(17:17)*100</f>
        <v>1.8727298528275688E-12</v>
      </c>
      <c r="D18">
        <f t="shared" ref="D18:J18" si="4">D17/SUM(17:17)*100</f>
        <v>14.812343596922556</v>
      </c>
      <c r="E18">
        <f t="shared" si="4"/>
        <v>85.187656403075579</v>
      </c>
      <c r="F18">
        <f t="shared" si="4"/>
        <v>0</v>
      </c>
      <c r="G18">
        <f t="shared" si="4"/>
        <v>0</v>
      </c>
      <c r="H18">
        <f t="shared" si="4"/>
        <v>0</v>
      </c>
      <c r="I18">
        <f t="shared" si="4"/>
        <v>0</v>
      </c>
      <c r="J18">
        <f t="shared" si="4"/>
        <v>0</v>
      </c>
    </row>
    <row r="19" spans="1:10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</row>
    <row r="20" spans="1:10" x14ac:dyDescent="0.25">
      <c r="A20" t="s">
        <v>1</v>
      </c>
      <c r="B20" t="s">
        <v>5</v>
      </c>
      <c r="C20">
        <v>869481</v>
      </c>
      <c r="D20" s="1">
        <v>3190460000000</v>
      </c>
      <c r="E20" s="1">
        <v>6453340000000</v>
      </c>
    </row>
    <row r="21" spans="1:10" x14ac:dyDescent="0.25">
      <c r="C21">
        <f>C20/SUM(20:20)*100</f>
        <v>9.0159576267442455E-6</v>
      </c>
      <c r="D21">
        <f t="shared" ref="D21:J21" si="5">D20/SUM(20:20)*100</f>
        <v>33.08301408520996</v>
      </c>
      <c r="E21">
        <f t="shared" si="5"/>
        <v>66.916976898832417</v>
      </c>
      <c r="F21">
        <f t="shared" si="5"/>
        <v>0</v>
      </c>
      <c r="G21">
        <f t="shared" si="5"/>
        <v>0</v>
      </c>
      <c r="H21">
        <f t="shared" si="5"/>
        <v>0</v>
      </c>
      <c r="I21">
        <f t="shared" si="5"/>
        <v>0</v>
      </c>
      <c r="J21">
        <f t="shared" si="5"/>
        <v>0</v>
      </c>
    </row>
    <row r="22" spans="1:10" x14ac:dyDescent="0.25">
      <c r="A22" s="2" t="s">
        <v>16</v>
      </c>
    </row>
    <row r="23" spans="1:10" x14ac:dyDescent="0.25">
      <c r="A23" t="s">
        <v>0</v>
      </c>
      <c r="B23" t="s">
        <v>1</v>
      </c>
      <c r="C23" t="s">
        <v>2</v>
      </c>
      <c r="D23" t="s">
        <v>3</v>
      </c>
      <c r="E23" t="s">
        <v>8</v>
      </c>
      <c r="F23" t="s">
        <v>9</v>
      </c>
      <c r="G23" t="s">
        <v>4</v>
      </c>
      <c r="H23" t="s">
        <v>12</v>
      </c>
      <c r="I23" t="s">
        <v>10</v>
      </c>
      <c r="J23" t="s">
        <v>13</v>
      </c>
    </row>
    <row r="24" spans="1:10" x14ac:dyDescent="0.25">
      <c r="A24" t="s">
        <v>1</v>
      </c>
      <c r="B24" t="s">
        <v>5</v>
      </c>
      <c r="C24">
        <v>5.9073500000000001E-2</v>
      </c>
      <c r="D24" s="1">
        <v>2.2707699999999999E-5</v>
      </c>
      <c r="E24">
        <v>1.0671900000000001</v>
      </c>
      <c r="F24" s="1">
        <v>20824500</v>
      </c>
      <c r="G24" s="1">
        <v>1.7141700000000001E-7</v>
      </c>
      <c r="H24">
        <v>1.48369</v>
      </c>
      <c r="I24">
        <v>0.111711</v>
      </c>
      <c r="J24" s="1">
        <v>4.1380600000000003E-8</v>
      </c>
    </row>
    <row r="25" spans="1:10" x14ac:dyDescent="0.25">
      <c r="C25">
        <f>C24/SUM(24:24)*100</f>
        <v>2.8367304030976277E-7</v>
      </c>
      <c r="D25">
        <f t="shared" ref="D25:J25" si="6">D24/SUM(24:24)*100</f>
        <v>1.0904318006283698E-10</v>
      </c>
      <c r="E25">
        <f t="shared" si="6"/>
        <v>5.1246841966055126E-6</v>
      </c>
      <c r="F25">
        <f t="shared" si="6"/>
        <v>99.999986930360564</v>
      </c>
      <c r="G25">
        <f t="shared" si="6"/>
        <v>8.2315050827830762E-13</v>
      </c>
      <c r="H25">
        <f t="shared" si="6"/>
        <v>7.1247319555670798E-6</v>
      </c>
      <c r="I25">
        <f t="shared" si="6"/>
        <v>5.3644018055547597E-7</v>
      </c>
      <c r="J25">
        <f t="shared" si="6"/>
        <v>1.987111075497841E-13</v>
      </c>
    </row>
    <row r="26" spans="1:10" x14ac:dyDescent="0.25">
      <c r="A26" t="s">
        <v>0</v>
      </c>
      <c r="B26" t="s">
        <v>1</v>
      </c>
      <c r="C26" t="s">
        <v>2</v>
      </c>
      <c r="D26" t="s">
        <v>3</v>
      </c>
      <c r="E26" t="s">
        <v>8</v>
      </c>
      <c r="F26" t="s">
        <v>9</v>
      </c>
      <c r="G26" t="s">
        <v>4</v>
      </c>
      <c r="H26" t="s">
        <v>12</v>
      </c>
      <c r="I26" t="s">
        <v>10</v>
      </c>
      <c r="J26" t="s">
        <v>13</v>
      </c>
    </row>
    <row r="27" spans="1:10" x14ac:dyDescent="0.25">
      <c r="A27" t="s">
        <v>1</v>
      </c>
      <c r="B27" t="s">
        <v>5</v>
      </c>
      <c r="C27" s="1">
        <v>3086050</v>
      </c>
      <c r="D27">
        <v>82616.3</v>
      </c>
      <c r="E27" s="1">
        <v>2039110</v>
      </c>
      <c r="F27" s="1">
        <v>5097420000</v>
      </c>
      <c r="G27">
        <v>7542.46</v>
      </c>
      <c r="H27" s="1">
        <v>110920000</v>
      </c>
      <c r="I27" s="1">
        <v>46420900</v>
      </c>
      <c r="J27">
        <v>58563.5</v>
      </c>
    </row>
    <row r="28" spans="1:10" x14ac:dyDescent="0.25">
      <c r="C28">
        <f>C27/SUM(27:27)*100</f>
        <v>5.8669764131750915E-2</v>
      </c>
      <c r="D28">
        <f t="shared" ref="D28" si="7">D27/SUM(27:27)*100</f>
        <v>1.5706417052341905E-3</v>
      </c>
      <c r="E28">
        <f t="shared" ref="E28" si="8">E27/SUM(27:27)*100</f>
        <v>3.8766093465334196E-2</v>
      </c>
      <c r="F28">
        <f t="shared" ref="F28" si="9">F27/SUM(27:27)*100</f>
        <v>96.908484658534292</v>
      </c>
      <c r="G28">
        <f t="shared" ref="G28" si="10">G27/SUM(27:27)*100</f>
        <v>1.4339182747303707E-4</v>
      </c>
      <c r="H28">
        <f t="shared" ref="H28" si="11">H27/SUM(27:27)*100</f>
        <v>2.1087313029580894</v>
      </c>
      <c r="I28">
        <f t="shared" ref="I28" si="12">I27/SUM(27:27)*100</f>
        <v>0.88252078021535496</v>
      </c>
      <c r="J28">
        <f t="shared" ref="J28" si="13">J27/SUM(27:27)*100</f>
        <v>1.1133671624665169E-3</v>
      </c>
    </row>
    <row r="29" spans="1:10" x14ac:dyDescent="0.25">
      <c r="A29" s="2" t="s">
        <v>17</v>
      </c>
    </row>
    <row r="30" spans="1:10" x14ac:dyDescent="0.25">
      <c r="A30" t="s">
        <v>0</v>
      </c>
      <c r="B30" t="s">
        <v>1</v>
      </c>
      <c r="C30" t="s">
        <v>2</v>
      </c>
      <c r="D30" t="s">
        <v>12</v>
      </c>
      <c r="E30" t="s">
        <v>10</v>
      </c>
    </row>
    <row r="31" spans="1:10" x14ac:dyDescent="0.25">
      <c r="A31" t="s">
        <v>1</v>
      </c>
      <c r="B31" t="s">
        <v>5</v>
      </c>
      <c r="C31">
        <v>1941.38</v>
      </c>
      <c r="D31" s="1">
        <v>7.7874999999999996E-6</v>
      </c>
      <c r="E31" s="1">
        <v>3.1612100000000002E-5</v>
      </c>
    </row>
    <row r="32" spans="1:10" x14ac:dyDescent="0.25">
      <c r="C32">
        <f>C31/SUM(31:31)*100</f>
        <v>99.999997970536469</v>
      </c>
      <c r="D32">
        <f t="shared" ref="D32" si="14">D31/SUM(31:31)*100</f>
        <v>4.0113217618166077E-7</v>
      </c>
      <c r="E32">
        <f t="shared" ref="E32" si="15">E31/SUM(31:31)*100</f>
        <v>1.6283313600863283E-6</v>
      </c>
      <c r="F32">
        <f t="shared" ref="F32" si="16">F31/SUM(31:31)*100</f>
        <v>0</v>
      </c>
      <c r="G32">
        <f t="shared" ref="G32" si="17">G31/SUM(31:31)*100</f>
        <v>0</v>
      </c>
      <c r="H32">
        <f t="shared" ref="H32" si="18">H31/SUM(31:31)*100</f>
        <v>0</v>
      </c>
      <c r="I32">
        <f t="shared" ref="I32" si="19">I31/SUM(31:31)*100</f>
        <v>0</v>
      </c>
      <c r="J32">
        <f t="shared" ref="J32" si="20">J31/SUM(31:31)*100</f>
        <v>0</v>
      </c>
    </row>
    <row r="33" spans="1:10" x14ac:dyDescent="0.25">
      <c r="A33" t="s">
        <v>0</v>
      </c>
      <c r="B33" t="s">
        <v>1</v>
      </c>
      <c r="C33" t="s">
        <v>2</v>
      </c>
      <c r="D33" t="s">
        <v>12</v>
      </c>
      <c r="E33" t="s">
        <v>10</v>
      </c>
    </row>
    <row r="34" spans="1:10" x14ac:dyDescent="0.25">
      <c r="A34" t="s">
        <v>1</v>
      </c>
      <c r="B34" t="s">
        <v>5</v>
      </c>
      <c r="C34" s="1">
        <v>167537000</v>
      </c>
      <c r="D34" s="1">
        <v>1524800</v>
      </c>
      <c r="E34">
        <v>650312</v>
      </c>
    </row>
    <row r="35" spans="1:10" x14ac:dyDescent="0.25">
      <c r="C35">
        <f>C34/SUM(34:34)*100</f>
        <v>98.718351934716367</v>
      </c>
      <c r="D35">
        <f t="shared" ref="D35" si="21">D34/SUM(34:34)*100</f>
        <v>0.89846268603386414</v>
      </c>
      <c r="E35">
        <f t="shared" ref="E35" si="22">E34/SUM(34:34)*100</f>
        <v>0.38318537924977331</v>
      </c>
      <c r="F35">
        <f t="shared" ref="F35" si="23">F34/SUM(34:34)*100</f>
        <v>0</v>
      </c>
      <c r="G35">
        <f t="shared" ref="G35" si="24">G34/SUM(34:34)*100</f>
        <v>0</v>
      </c>
      <c r="H35">
        <f t="shared" ref="H35" si="25">H34/SUM(34:34)*100</f>
        <v>0</v>
      </c>
      <c r="I35">
        <f t="shared" ref="I35" si="26">I34/SUM(34:34)*100</f>
        <v>0</v>
      </c>
      <c r="J35">
        <f t="shared" ref="J35" si="27">J34/SUM(34:34)*100</f>
        <v>0</v>
      </c>
    </row>
    <row r="36" spans="1:10" x14ac:dyDescent="0.25">
      <c r="A36" s="2" t="s">
        <v>18</v>
      </c>
    </row>
    <row r="37" spans="1:10" x14ac:dyDescent="0.25">
      <c r="A37" t="s">
        <v>0</v>
      </c>
      <c r="B37" t="s">
        <v>1</v>
      </c>
      <c r="C37" t="s">
        <v>2</v>
      </c>
      <c r="D37" t="s">
        <v>3</v>
      </c>
      <c r="E37" t="s">
        <v>12</v>
      </c>
      <c r="F37" t="s">
        <v>10</v>
      </c>
      <c r="G37" t="s">
        <v>13</v>
      </c>
    </row>
    <row r="38" spans="1:10" x14ac:dyDescent="0.25">
      <c r="A38" t="s">
        <v>1</v>
      </c>
      <c r="B38" t="s">
        <v>5</v>
      </c>
      <c r="C38">
        <v>66.221599999999995</v>
      </c>
      <c r="D38">
        <v>9956.02</v>
      </c>
      <c r="E38">
        <v>102.139</v>
      </c>
      <c r="F38" s="1">
        <v>37552000</v>
      </c>
      <c r="G38">
        <v>78.37</v>
      </c>
    </row>
    <row r="39" spans="1:10" x14ac:dyDescent="0.25">
      <c r="C39">
        <f>C38/SUM(38:38)*100</f>
        <v>1.762984999566944E-4</v>
      </c>
      <c r="D39">
        <f t="shared" ref="D39" si="28">D38/SUM(38:38)*100</f>
        <v>2.6505421064106707E-2</v>
      </c>
      <c r="E39">
        <f t="shared" ref="E39" si="29">E38/SUM(38:38)*100</f>
        <v>2.7191962270734638E-4</v>
      </c>
      <c r="F39">
        <f t="shared" ref="F39" si="30">F38/SUM(38:38)*100</f>
        <v>99.972837720227062</v>
      </c>
      <c r="G39">
        <f t="shared" ref="G39" si="31">G38/SUM(38:38)*100</f>
        <v>2.0864058617741255E-4</v>
      </c>
      <c r="H39">
        <f t="shared" ref="H39" si="32">H38/SUM(38:38)*100</f>
        <v>0</v>
      </c>
      <c r="I39">
        <f t="shared" ref="I39" si="33">I38/SUM(38:38)*100</f>
        <v>0</v>
      </c>
      <c r="J39">
        <f t="shared" ref="J39" si="34">J38/SUM(38:38)*100</f>
        <v>0</v>
      </c>
    </row>
    <row r="40" spans="1:10" x14ac:dyDescent="0.25">
      <c r="A40" t="s">
        <v>0</v>
      </c>
      <c r="B40" t="s">
        <v>1</v>
      </c>
      <c r="C40" t="s">
        <v>2</v>
      </c>
      <c r="D40" t="s">
        <v>3</v>
      </c>
      <c r="E40" t="s">
        <v>12</v>
      </c>
      <c r="F40" t="s">
        <v>10</v>
      </c>
      <c r="G40" t="s">
        <v>13</v>
      </c>
    </row>
    <row r="41" spans="1:10" x14ac:dyDescent="0.25">
      <c r="A41" t="s">
        <v>1</v>
      </c>
      <c r="B41" t="s">
        <v>5</v>
      </c>
      <c r="C41" s="1">
        <v>21698200</v>
      </c>
      <c r="D41" s="1">
        <v>775901000</v>
      </c>
      <c r="E41" s="1">
        <v>1910130000</v>
      </c>
      <c r="F41" s="1">
        <v>217547000000</v>
      </c>
      <c r="G41" s="1">
        <v>1323410000</v>
      </c>
    </row>
    <row r="42" spans="1:10" x14ac:dyDescent="0.25">
      <c r="C42">
        <f>C41/SUM(41:41)*100</f>
        <v>9.792572533707784E-3</v>
      </c>
      <c r="D42">
        <f t="shared" ref="D42" si="35">D41/SUM(41:41)*100</f>
        <v>0.35017037456915334</v>
      </c>
      <c r="E42">
        <f t="shared" ref="E42" si="36">E41/SUM(41:41)*100</f>
        <v>0.86205706343435162</v>
      </c>
      <c r="F42">
        <f t="shared" ref="F42" si="37">F41/SUM(41:41)*100</f>
        <v>98.180714390618903</v>
      </c>
      <c r="G42">
        <f t="shared" ref="G42" si="38">G41/SUM(41:41)*100</f>
        <v>0.59726559884387731</v>
      </c>
      <c r="H42">
        <f t="shared" ref="H42" si="39">H41/SUM(41:41)*100</f>
        <v>0</v>
      </c>
      <c r="I42">
        <f t="shared" ref="I42" si="40">I41/SUM(41:41)*100</f>
        <v>0</v>
      </c>
      <c r="J42">
        <f t="shared" ref="J42" si="41">J41/SUM(41:41)*100</f>
        <v>0</v>
      </c>
    </row>
    <row r="43" spans="1:10" x14ac:dyDescent="0.25">
      <c r="A43" s="2" t="s">
        <v>19</v>
      </c>
    </row>
    <row r="44" spans="1:10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8</v>
      </c>
      <c r="G44" t="s">
        <v>9</v>
      </c>
      <c r="H44" t="s">
        <v>20</v>
      </c>
      <c r="I44" t="s">
        <v>12</v>
      </c>
      <c r="J44" t="s">
        <v>10</v>
      </c>
    </row>
    <row r="45" spans="1:10" x14ac:dyDescent="0.25">
      <c r="A45" t="s">
        <v>1</v>
      </c>
      <c r="B45" t="s">
        <v>5</v>
      </c>
      <c r="C45">
        <v>6.4372699999999998</v>
      </c>
      <c r="D45">
        <v>2.3234499999999998</v>
      </c>
      <c r="E45" s="1">
        <v>34771300</v>
      </c>
      <c r="F45">
        <v>76880.3</v>
      </c>
      <c r="G45">
        <v>3926.27</v>
      </c>
      <c r="H45">
        <v>6.5982300000000003E-4</v>
      </c>
      <c r="I45">
        <v>1.2500899999999999</v>
      </c>
      <c r="J45">
        <v>8.8009699999999995</v>
      </c>
    </row>
    <row r="46" spans="1:10" x14ac:dyDescent="0.25">
      <c r="C46">
        <f>C45/SUM(45:45)*100</f>
        <v>1.8470236547592028E-5</v>
      </c>
      <c r="D46">
        <f t="shared" ref="D46" si="42">D45/SUM(45:45)*100</f>
        <v>6.6665948618750957E-6</v>
      </c>
      <c r="E46">
        <f t="shared" ref="E46" si="43">E45/SUM(45:45)*100</f>
        <v>99.768090520870928</v>
      </c>
      <c r="F46">
        <f t="shared" ref="F46" si="44">F45/SUM(45:45)*100</f>
        <v>0.22058999029865761</v>
      </c>
      <c r="G46">
        <f t="shared" ref="G46" si="45">G45/SUM(45:45)*100</f>
        <v>1.1265510946366108E-2</v>
      </c>
      <c r="H46">
        <f t="shared" ref="H46" si="46">H45/SUM(45:45)*100</f>
        <v>1.8932073518031428E-9</v>
      </c>
      <c r="I46">
        <f t="shared" ref="I46" si="47">I45/SUM(45:45)*100</f>
        <v>3.5868400744072132E-6</v>
      </c>
      <c r="J46">
        <f t="shared" ref="J46" si="48">J45/SUM(45:45)*100</f>
        <v>2.5252319344731697E-5</v>
      </c>
    </row>
    <row r="47" spans="1:10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8</v>
      </c>
      <c r="G47" t="s">
        <v>9</v>
      </c>
      <c r="H47" t="s">
        <v>20</v>
      </c>
      <c r="I47" t="s">
        <v>12</v>
      </c>
      <c r="J47" t="s">
        <v>10</v>
      </c>
    </row>
    <row r="48" spans="1:10" x14ac:dyDescent="0.25">
      <c r="A48" t="s">
        <v>1</v>
      </c>
      <c r="B48" t="s">
        <v>5</v>
      </c>
      <c r="C48" s="1">
        <v>51565900</v>
      </c>
      <c r="D48" s="1">
        <v>11578800</v>
      </c>
      <c r="E48" s="1">
        <v>7027730000</v>
      </c>
      <c r="F48" s="1">
        <v>94814300</v>
      </c>
      <c r="G48" s="1">
        <v>766998000</v>
      </c>
      <c r="H48">
        <v>609708</v>
      </c>
      <c r="I48" s="1">
        <v>620564000</v>
      </c>
      <c r="J48" s="1">
        <v>394364000</v>
      </c>
    </row>
    <row r="49" spans="1:10" x14ac:dyDescent="0.25">
      <c r="C49">
        <f>C48/SUM(48:48)*100</f>
        <v>0.57498447774174577</v>
      </c>
      <c r="D49">
        <f t="shared" ref="D49" si="49">D48/SUM(48:48)*100</f>
        <v>0.1291091646005621</v>
      </c>
      <c r="E49">
        <f t="shared" ref="E49" si="50">E48/SUM(48:48)*100</f>
        <v>78.362554784460244</v>
      </c>
      <c r="F49">
        <f t="shared" ref="F49" si="51">F48/SUM(48:48)*100</f>
        <v>1.0572248475823987</v>
      </c>
      <c r="G49">
        <f t="shared" ref="G49" si="52">G48/SUM(48:48)*100</f>
        <v>8.552394983098587</v>
      </c>
      <c r="H49">
        <f t="shared" ref="H49" si="53">H48/SUM(48:48)*100</f>
        <v>6.798536163529858E-3</v>
      </c>
      <c r="I49">
        <f t="shared" ref="I49" si="54">I48/SUM(48:48)*100</f>
        <v>6.9195857620118861</v>
      </c>
      <c r="J49">
        <f t="shared" ref="J49" si="55">J48/SUM(48:48)*100</f>
        <v>4.397347444341043</v>
      </c>
    </row>
    <row r="50" spans="1:10" x14ac:dyDescent="0.25">
      <c r="A50" s="2" t="s">
        <v>21</v>
      </c>
    </row>
    <row r="51" spans="1:10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8</v>
      </c>
      <c r="G51" t="s">
        <v>9</v>
      </c>
      <c r="H51" t="s">
        <v>20</v>
      </c>
      <c r="I51" t="s">
        <v>12</v>
      </c>
    </row>
    <row r="52" spans="1:10" x14ac:dyDescent="0.25">
      <c r="A52" t="s">
        <v>1</v>
      </c>
      <c r="B52" t="s">
        <v>5</v>
      </c>
      <c r="C52" s="1">
        <v>1.4965199999999999E-6</v>
      </c>
      <c r="D52">
        <v>2.4607700000000001E-3</v>
      </c>
      <c r="E52" s="1">
        <v>8.6787200000000004E-11</v>
      </c>
      <c r="F52" s="1">
        <v>3.14976E-8</v>
      </c>
      <c r="G52" s="1">
        <v>7.1227100000000002E-11</v>
      </c>
      <c r="H52" s="1">
        <v>5.7035100000000003E-9</v>
      </c>
      <c r="I52" s="1">
        <v>2.9941199999999997E-11</v>
      </c>
    </row>
    <row r="53" spans="1:10" x14ac:dyDescent="0.25">
      <c r="C53">
        <f>C52/SUM(52:52)*100</f>
        <v>6.0777225528101574E-2</v>
      </c>
      <c r="D53">
        <f t="shared" ref="D53" si="56">D52/SUM(52:52)*100</f>
        <v>99.937704315870505</v>
      </c>
      <c r="E53">
        <f t="shared" ref="E53" si="57">E52/SUM(52:52)*100</f>
        <v>3.5246339690431521E-6</v>
      </c>
      <c r="F53">
        <f t="shared" ref="F53" si="58">F52/SUM(52:52)*100</f>
        <v>1.2791922184761529E-3</v>
      </c>
      <c r="G53">
        <f t="shared" ref="G53" si="59">G52/SUM(52:52)*100</f>
        <v>2.8927014142227596E-6</v>
      </c>
      <c r="H53">
        <f t="shared" ref="H53" si="60">H52/SUM(52:52)*100</f>
        <v>2.3163306442398543E-4</v>
      </c>
      <c r="I53">
        <f t="shared" ref="I53" si="61">I52/SUM(52:52)*100</f>
        <v>1.2159831241694028E-6</v>
      </c>
      <c r="J53">
        <f t="shared" ref="J53" si="62">J52/SUM(52:52)*100</f>
        <v>0</v>
      </c>
    </row>
    <row r="54" spans="1:10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8</v>
      </c>
      <c r="G54" t="s">
        <v>9</v>
      </c>
      <c r="H54" t="s">
        <v>20</v>
      </c>
      <c r="I54" t="s">
        <v>12</v>
      </c>
    </row>
    <row r="55" spans="1:10" x14ac:dyDescent="0.25">
      <c r="A55" t="s">
        <v>1</v>
      </c>
      <c r="B55" t="s">
        <v>5</v>
      </c>
      <c r="C55">
        <v>41426.699999999997</v>
      </c>
      <c r="D55">
        <v>690137</v>
      </c>
      <c r="E55">
        <v>484.45</v>
      </c>
      <c r="F55">
        <v>17120.7</v>
      </c>
      <c r="G55">
        <v>22512.9</v>
      </c>
      <c r="H55">
        <v>46825.1</v>
      </c>
      <c r="I55">
        <v>11716.5</v>
      </c>
    </row>
    <row r="56" spans="1:10" x14ac:dyDescent="0.25">
      <c r="C56">
        <f>C55/SUM(55:55)*100</f>
        <v>4.9898259305763926</v>
      </c>
      <c r="D56">
        <f t="shared" ref="D56" si="63">D55/SUM(55:55)*100</f>
        <v>83.126667058930607</v>
      </c>
      <c r="E56">
        <f t="shared" ref="E56" si="64">E55/SUM(55:55)*100</f>
        <v>5.8351767629758917E-2</v>
      </c>
      <c r="F56">
        <f t="shared" ref="F56" si="65">F55/SUM(55:55)*100</f>
        <v>2.062180014570778</v>
      </c>
      <c r="G56">
        <f t="shared" ref="G56" si="66">G55/SUM(55:55)*100</f>
        <v>2.7116678903333669</v>
      </c>
      <c r="H56">
        <f t="shared" ref="H56" si="67">H55/SUM(55:55)*100</f>
        <v>5.6400605933331081</v>
      </c>
      <c r="I56">
        <f t="shared" ref="I56" si="68">I55/SUM(55:55)*100</f>
        <v>1.4112467446260097</v>
      </c>
      <c r="J56">
        <f t="shared" ref="J56" si="69">J55/SUM(55:55)*100</f>
        <v>0</v>
      </c>
    </row>
    <row r="57" spans="1:10" x14ac:dyDescent="0.25">
      <c r="A57" s="2" t="s">
        <v>22</v>
      </c>
    </row>
    <row r="58" spans="1:10" x14ac:dyDescent="0.25">
      <c r="A58" t="s">
        <v>0</v>
      </c>
      <c r="B58" t="s">
        <v>1</v>
      </c>
      <c r="C58" t="s">
        <v>2</v>
      </c>
      <c r="D58" t="s">
        <v>3</v>
      </c>
      <c r="E58" t="s">
        <v>12</v>
      </c>
    </row>
    <row r="59" spans="1:10" x14ac:dyDescent="0.25">
      <c r="A59" t="s">
        <v>1</v>
      </c>
      <c r="B59" t="s">
        <v>5</v>
      </c>
      <c r="C59">
        <v>0.32575300000000001</v>
      </c>
      <c r="D59">
        <v>14.2127</v>
      </c>
      <c r="E59">
        <v>4.1963299999999999E-3</v>
      </c>
    </row>
    <row r="60" spans="1:10" x14ac:dyDescent="0.25">
      <c r="C60">
        <f>C59/SUM(59:59)*100</f>
        <v>2.2399838750701693</v>
      </c>
      <c r="D60">
        <f t="shared" ref="D60" si="70">D59/SUM(59:59)*100</f>
        <v>97.731160791181651</v>
      </c>
      <c r="E60">
        <f t="shared" ref="E60" si="71">E59/SUM(59:59)*100</f>
        <v>2.8855333748187131E-2</v>
      </c>
      <c r="F60">
        <f t="shared" ref="F60" si="72">F59/SUM(59:59)*100</f>
        <v>0</v>
      </c>
      <c r="G60">
        <f t="shared" ref="G60" si="73">G59/SUM(59:59)*100</f>
        <v>0</v>
      </c>
      <c r="H60">
        <f t="shared" ref="H60" si="74">H59/SUM(59:59)*100</f>
        <v>0</v>
      </c>
      <c r="I60">
        <f t="shared" ref="I60" si="75">I59/SUM(59:59)*100</f>
        <v>0</v>
      </c>
      <c r="J60">
        <f t="shared" ref="J60" si="76">J59/SUM(59:59)*100</f>
        <v>0</v>
      </c>
    </row>
    <row r="61" spans="1:10" x14ac:dyDescent="0.25">
      <c r="A61" t="s">
        <v>0</v>
      </c>
      <c r="B61" t="s">
        <v>1</v>
      </c>
      <c r="C61" t="s">
        <v>2</v>
      </c>
      <c r="D61" t="s">
        <v>3</v>
      </c>
      <c r="E61" t="s">
        <v>12</v>
      </c>
    </row>
    <row r="62" spans="1:10" x14ac:dyDescent="0.25">
      <c r="A62" t="s">
        <v>1</v>
      </c>
      <c r="B62" t="s">
        <v>5</v>
      </c>
      <c r="C62" s="1">
        <v>1014290</v>
      </c>
      <c r="D62" s="1">
        <v>3347590</v>
      </c>
      <c r="E62" s="1">
        <v>8337830</v>
      </c>
    </row>
    <row r="63" spans="1:10" x14ac:dyDescent="0.25">
      <c r="C63">
        <f>C62/SUM(62:62)*100</f>
        <v>7.9867178069420479</v>
      </c>
      <c r="D63">
        <f t="shared" ref="D63" si="77">D62/SUM(62:62)*100</f>
        <v>26.359578289582991</v>
      </c>
      <c r="E63">
        <f t="shared" ref="E63" si="78">E62/SUM(62:62)*100</f>
        <v>65.653703903474963</v>
      </c>
      <c r="F63">
        <f t="shared" ref="F63" si="79">F62/SUM(62:62)*100</f>
        <v>0</v>
      </c>
      <c r="G63">
        <f t="shared" ref="G63" si="80">G62/SUM(62:62)*100</f>
        <v>0</v>
      </c>
      <c r="H63">
        <f t="shared" ref="H63" si="81">H62/SUM(62:62)*100</f>
        <v>0</v>
      </c>
      <c r="I63">
        <f t="shared" ref="I63" si="82">I62/SUM(62:62)*100</f>
        <v>0</v>
      </c>
      <c r="J63">
        <f t="shared" ref="J63" si="83">J62/SUM(62:62)*100</f>
        <v>0</v>
      </c>
    </row>
    <row r="64" spans="1:10" x14ac:dyDescent="0.25">
      <c r="A64" s="2" t="s">
        <v>23</v>
      </c>
    </row>
    <row r="65" spans="1:10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8</v>
      </c>
      <c r="G65" t="s">
        <v>12</v>
      </c>
    </row>
    <row r="66" spans="1:10" x14ac:dyDescent="0.25">
      <c r="A66" t="s">
        <v>1</v>
      </c>
      <c r="B66" t="s">
        <v>5</v>
      </c>
      <c r="C66">
        <v>51615.9</v>
      </c>
      <c r="D66" s="1">
        <v>1017850</v>
      </c>
      <c r="E66">
        <v>949.43200000000002</v>
      </c>
      <c r="F66">
        <v>209.94900000000001</v>
      </c>
      <c r="G66" s="1">
        <v>38695300</v>
      </c>
    </row>
    <row r="67" spans="1:10" x14ac:dyDescent="0.25">
      <c r="C67">
        <f>C66/SUM(66:66)*100</f>
        <v>0.12979931847496043</v>
      </c>
      <c r="D67">
        <f t="shared" ref="D67" si="84">D66/SUM(66:66)*100</f>
        <v>2.5596034615251981</v>
      </c>
      <c r="E67">
        <f t="shared" ref="E67" si="85">E66/SUM(66:66)*100</f>
        <v>2.3875516369630027E-3</v>
      </c>
      <c r="F67">
        <f t="shared" ref="F67" si="86">F66/SUM(66:66)*100</f>
        <v>5.279620642960691E-4</v>
      </c>
      <c r="G67">
        <f t="shared" ref="G67" si="87">G66/SUM(66:66)*100</f>
        <v>97.307681706298581</v>
      </c>
      <c r="H67">
        <f t="shared" ref="H67" si="88">H66/SUM(66:66)*100</f>
        <v>0</v>
      </c>
      <c r="I67">
        <f t="shared" ref="I67" si="89">I66/SUM(66:66)*100</f>
        <v>0</v>
      </c>
      <c r="J67">
        <f t="shared" ref="J67" si="90">J66/SUM(66:66)*100</f>
        <v>0</v>
      </c>
    </row>
    <row r="68" spans="1:10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8</v>
      </c>
      <c r="G68" t="s">
        <v>12</v>
      </c>
    </row>
    <row r="69" spans="1:10" x14ac:dyDescent="0.25">
      <c r="A69" t="s">
        <v>1</v>
      </c>
      <c r="B69" t="s">
        <v>5</v>
      </c>
      <c r="C69" s="1">
        <v>160739000</v>
      </c>
      <c r="D69" s="1">
        <v>266406000</v>
      </c>
      <c r="E69" s="1">
        <v>130008000</v>
      </c>
      <c r="F69" s="1">
        <v>31184600</v>
      </c>
      <c r="G69" s="1">
        <v>64175000000</v>
      </c>
    </row>
    <row r="70" spans="1:10" x14ac:dyDescent="0.25">
      <c r="C70">
        <f>C69/SUM(69:69)*100</f>
        <v>0.2481944352417069</v>
      </c>
      <c r="D70">
        <f t="shared" ref="D70" si="91">D69/SUM(69:69)*100</f>
        <v>0.4113531048158951</v>
      </c>
      <c r="E70">
        <f t="shared" ref="E70" si="92">E69/SUM(69:69)*100</f>
        <v>0.20074320567444009</v>
      </c>
      <c r="F70">
        <f t="shared" ref="F70" si="93">F69/SUM(69:69)*100</f>
        <v>4.8151625835911212E-2</v>
      </c>
      <c r="G70">
        <f t="shared" ref="G70" si="94">G69/SUM(69:69)*100</f>
        <v>99.091557628432042</v>
      </c>
      <c r="H70">
        <f t="shared" ref="H70" si="95">H69/SUM(69:69)*100</f>
        <v>0</v>
      </c>
      <c r="I70">
        <f t="shared" ref="I70" si="96">I69/SUM(69:69)*100</f>
        <v>0</v>
      </c>
      <c r="J70">
        <f t="shared" ref="J70" si="97">J69/SUM(69:69)*100</f>
        <v>0</v>
      </c>
    </row>
    <row r="71" spans="1:10" x14ac:dyDescent="0.25">
      <c r="A71" s="2" t="s">
        <v>24</v>
      </c>
    </row>
    <row r="72" spans="1:10" x14ac:dyDescent="0.25">
      <c r="A72" t="s">
        <v>0</v>
      </c>
      <c r="B72" t="s">
        <v>1</v>
      </c>
      <c r="C72" t="s">
        <v>2</v>
      </c>
      <c r="D72" t="s">
        <v>3</v>
      </c>
      <c r="E72" t="s">
        <v>12</v>
      </c>
    </row>
    <row r="73" spans="1:10" x14ac:dyDescent="0.25">
      <c r="A73" t="s">
        <v>1</v>
      </c>
      <c r="B73" t="s">
        <v>5</v>
      </c>
      <c r="C73">
        <v>823.67</v>
      </c>
      <c r="D73">
        <v>1857.49</v>
      </c>
      <c r="E73">
        <v>3684.62</v>
      </c>
    </row>
    <row r="74" spans="1:10" x14ac:dyDescent="0.25">
      <c r="C74">
        <f>C73/SUM(73:73)*100</f>
        <v>12.939027110581893</v>
      </c>
      <c r="D74">
        <f t="shared" ref="D74" si="98">D73/SUM(73:73)*100</f>
        <v>29.179299316030399</v>
      </c>
      <c r="E74">
        <f t="shared" ref="E74" si="99">E73/SUM(73:73)*100</f>
        <v>57.881673573387701</v>
      </c>
      <c r="F74">
        <f t="shared" ref="F74" si="100">F73/SUM(73:73)*100</f>
        <v>0</v>
      </c>
      <c r="G74">
        <f t="shared" ref="G74" si="101">G73/SUM(73:73)*100</f>
        <v>0</v>
      </c>
      <c r="H74">
        <f t="shared" ref="H74" si="102">H73/SUM(73:73)*100</f>
        <v>0</v>
      </c>
      <c r="I74">
        <f t="shared" ref="I74" si="103">I73/SUM(73:73)*100</f>
        <v>0</v>
      </c>
      <c r="J74">
        <f t="shared" ref="J74" si="104">J73/SUM(73:73)*100</f>
        <v>0</v>
      </c>
    </row>
    <row r="75" spans="1:10" x14ac:dyDescent="0.25">
      <c r="A75" t="s">
        <v>0</v>
      </c>
      <c r="B75" t="s">
        <v>1</v>
      </c>
      <c r="C75" t="s">
        <v>2</v>
      </c>
      <c r="D75" t="s">
        <v>3</v>
      </c>
      <c r="E75" t="s">
        <v>12</v>
      </c>
    </row>
    <row r="76" spans="1:10" x14ac:dyDescent="0.25">
      <c r="A76" t="s">
        <v>1</v>
      </c>
      <c r="B76" t="s">
        <v>5</v>
      </c>
      <c r="C76" s="1">
        <v>8099400</v>
      </c>
      <c r="D76" s="1">
        <v>36425500</v>
      </c>
      <c r="E76" s="1">
        <v>2379000000</v>
      </c>
    </row>
    <row r="77" spans="1:10" x14ac:dyDescent="0.25">
      <c r="C77">
        <f>C76/SUM(76:76)*100</f>
        <v>0.33419916585135973</v>
      </c>
      <c r="D77">
        <f t="shared" ref="D77" si="105">D76/SUM(76:76)*100</f>
        <v>1.502996730093427</v>
      </c>
      <c r="E77">
        <f t="shared" ref="E77" si="106">E76/SUM(76:76)*100</f>
        <v>98.162804104055212</v>
      </c>
      <c r="F77">
        <f t="shared" ref="F77" si="107">F76/SUM(76:76)*100</f>
        <v>0</v>
      </c>
      <c r="G77">
        <f t="shared" ref="G77" si="108">G76/SUM(76:76)*100</f>
        <v>0</v>
      </c>
      <c r="H77">
        <f t="shared" ref="H77" si="109">H76/SUM(76:76)*100</f>
        <v>0</v>
      </c>
      <c r="I77">
        <f t="shared" ref="I77" si="110">I76/SUM(76:76)*100</f>
        <v>0</v>
      </c>
      <c r="J77">
        <f t="shared" ref="J77" si="111">J76/SUM(76:76)*100</f>
        <v>0</v>
      </c>
    </row>
    <row r="78" spans="1:10" x14ac:dyDescent="0.25">
      <c r="A78" s="2" t="s">
        <v>25</v>
      </c>
    </row>
    <row r="79" spans="1:10" x14ac:dyDescent="0.25">
      <c r="A79" t="s">
        <v>0</v>
      </c>
      <c r="B79" t="s">
        <v>1</v>
      </c>
      <c r="C79" t="s">
        <v>3</v>
      </c>
      <c r="D79" t="s">
        <v>2</v>
      </c>
      <c r="E79" t="s">
        <v>12</v>
      </c>
    </row>
    <row r="80" spans="1:10" x14ac:dyDescent="0.25">
      <c r="A80" t="s">
        <v>1</v>
      </c>
      <c r="B80" t="s">
        <v>5</v>
      </c>
      <c r="C80" s="1">
        <v>8.7800900000000004E-7</v>
      </c>
      <c r="D80">
        <v>5.4713099999999996E-4</v>
      </c>
      <c r="E80">
        <v>3.9832600000000001E-4</v>
      </c>
    </row>
    <row r="81" spans="1:10" x14ac:dyDescent="0.25">
      <c r="C81">
        <f>C80/SUM(80:80)*100</f>
        <v>9.2779934341412504E-2</v>
      </c>
      <c r="D81">
        <f t="shared" ref="D81" si="112">D80/SUM(80:80)*100</f>
        <v>57.815783501252668</v>
      </c>
      <c r="E81">
        <f t="shared" ref="E81" si="113">E80/SUM(80:80)*100</f>
        <v>42.091436564405917</v>
      </c>
      <c r="F81">
        <f t="shared" ref="F81" si="114">F80/SUM(80:80)*100</f>
        <v>0</v>
      </c>
      <c r="G81">
        <f t="shared" ref="G81" si="115">G80/SUM(80:80)*100</f>
        <v>0</v>
      </c>
      <c r="H81">
        <f t="shared" ref="H81" si="116">H80/SUM(80:80)*100</f>
        <v>0</v>
      </c>
      <c r="I81">
        <f t="shared" ref="I81" si="117">I80/SUM(80:80)*100</f>
        <v>0</v>
      </c>
      <c r="J81">
        <f t="shared" ref="J81" si="118">J80/SUM(80:80)*100</f>
        <v>0</v>
      </c>
    </row>
    <row r="82" spans="1:10" x14ac:dyDescent="0.25">
      <c r="A82" t="s">
        <v>0</v>
      </c>
      <c r="B82" t="s">
        <v>1</v>
      </c>
      <c r="C82" t="s">
        <v>3</v>
      </c>
      <c r="D82" t="s">
        <v>2</v>
      </c>
      <c r="E82" t="s">
        <v>12</v>
      </c>
    </row>
    <row r="83" spans="1:10" x14ac:dyDescent="0.25">
      <c r="A83" t="s">
        <v>1</v>
      </c>
      <c r="B83" t="s">
        <v>5</v>
      </c>
      <c r="C83">
        <v>5536</v>
      </c>
      <c r="D83">
        <v>394735</v>
      </c>
      <c r="E83" s="1">
        <v>2244510</v>
      </c>
    </row>
    <row r="84" spans="1:10" x14ac:dyDescent="0.25">
      <c r="C84">
        <f>C83/SUM(83:83)*100</f>
        <v>0.20931789815489449</v>
      </c>
      <c r="D84">
        <f t="shared" ref="D84" si="119">D83/SUM(83:83)*100</f>
        <v>14.925054286158288</v>
      </c>
      <c r="E84">
        <f t="shared" ref="E84" si="120">E83/SUM(83:83)*100</f>
        <v>84.865627815686821</v>
      </c>
      <c r="F84">
        <f t="shared" ref="F84" si="121">F83/SUM(83:83)*100</f>
        <v>0</v>
      </c>
      <c r="G84">
        <f t="shared" ref="G84" si="122">G83/SUM(83:83)*100</f>
        <v>0</v>
      </c>
      <c r="H84">
        <f t="shared" ref="H84" si="123">H83/SUM(83:83)*100</f>
        <v>0</v>
      </c>
      <c r="I84">
        <f t="shared" ref="I84" si="124">I83/SUM(83:83)*100</f>
        <v>0</v>
      </c>
      <c r="J84">
        <f t="shared" ref="J84" si="125">J83/SUM(83:83)*100</f>
        <v>0</v>
      </c>
    </row>
    <row r="85" spans="1:10" x14ac:dyDescent="0.25">
      <c r="A85" s="2" t="s">
        <v>26</v>
      </c>
    </row>
    <row r="86" spans="1:10" x14ac:dyDescent="0.25">
      <c r="A86" t="s">
        <v>0</v>
      </c>
      <c r="B86" t="s">
        <v>1</v>
      </c>
      <c r="C86" t="s">
        <v>2</v>
      </c>
    </row>
    <row r="87" spans="1:10" x14ac:dyDescent="0.25">
      <c r="A87" t="s">
        <v>1</v>
      </c>
      <c r="B87" t="s">
        <v>5</v>
      </c>
      <c r="C87">
        <v>592750</v>
      </c>
    </row>
    <row r="88" spans="1:10" x14ac:dyDescent="0.25">
      <c r="C88">
        <f>C87/SUM(87:87)*100</f>
        <v>100</v>
      </c>
      <c r="D88">
        <f t="shared" ref="D88" si="126">D87/SUM(87:87)*100</f>
        <v>0</v>
      </c>
      <c r="E88">
        <f t="shared" ref="E88" si="127">E87/SUM(87:87)*100</f>
        <v>0</v>
      </c>
      <c r="F88">
        <f t="shared" ref="F88" si="128">F87/SUM(87:87)*100</f>
        <v>0</v>
      </c>
      <c r="G88">
        <f t="shared" ref="G88" si="129">G87/SUM(87:87)*100</f>
        <v>0</v>
      </c>
      <c r="H88">
        <f t="shared" ref="H88" si="130">H87/SUM(87:87)*100</f>
        <v>0</v>
      </c>
      <c r="I88">
        <f t="shared" ref="I88" si="131">I87/SUM(87:87)*100</f>
        <v>0</v>
      </c>
      <c r="J88">
        <f t="shared" ref="J88" si="132">J87/SUM(87:87)*100</f>
        <v>0</v>
      </c>
    </row>
    <row r="89" spans="1:10" x14ac:dyDescent="0.25">
      <c r="A89" t="s">
        <v>0</v>
      </c>
      <c r="B89" t="s">
        <v>1</v>
      </c>
      <c r="C89" t="s">
        <v>2</v>
      </c>
    </row>
    <row r="90" spans="1:10" x14ac:dyDescent="0.25">
      <c r="A90" t="s">
        <v>1</v>
      </c>
      <c r="B90" t="s">
        <v>5</v>
      </c>
      <c r="C90" s="1">
        <v>33457100000</v>
      </c>
    </row>
    <row r="91" spans="1:10" x14ac:dyDescent="0.25">
      <c r="C91">
        <f>C90/SUM(90:90)*100</f>
        <v>100</v>
      </c>
      <c r="D91">
        <f t="shared" ref="D91" si="133">D90/SUM(90:90)*100</f>
        <v>0</v>
      </c>
      <c r="E91">
        <f t="shared" ref="E91" si="134">E90/SUM(90:90)*100</f>
        <v>0</v>
      </c>
      <c r="F91">
        <f t="shared" ref="F91" si="135">F90/SUM(90:90)*100</f>
        <v>0</v>
      </c>
      <c r="G91">
        <f t="shared" ref="G91" si="136">G90/SUM(90:90)*100</f>
        <v>0</v>
      </c>
      <c r="H91">
        <f t="shared" ref="H91" si="137">H90/SUM(90:90)*100</f>
        <v>0</v>
      </c>
      <c r="I91">
        <f t="shared" ref="I91" si="138">I90/SUM(90:90)*100</f>
        <v>0</v>
      </c>
      <c r="J91">
        <f t="shared" ref="J91" si="139">J90/SUM(90:90)*100</f>
        <v>0</v>
      </c>
    </row>
    <row r="92" spans="1:10" x14ac:dyDescent="0.25">
      <c r="A92" s="2" t="s">
        <v>27</v>
      </c>
    </row>
    <row r="93" spans="1:10" x14ac:dyDescent="0.25">
      <c r="A93" t="s">
        <v>0</v>
      </c>
      <c r="B93" t="s">
        <v>1</v>
      </c>
      <c r="C93" t="s">
        <v>2</v>
      </c>
      <c r="D93" t="s">
        <v>4</v>
      </c>
      <c r="E93" t="s">
        <v>8</v>
      </c>
      <c r="F93" t="s">
        <v>20</v>
      </c>
      <c r="G93" t="s">
        <v>9</v>
      </c>
      <c r="H93" t="s">
        <v>12</v>
      </c>
      <c r="I93" t="s">
        <v>10</v>
      </c>
    </row>
    <row r="94" spans="1:10" x14ac:dyDescent="0.25">
      <c r="A94" t="s">
        <v>1</v>
      </c>
      <c r="B94" t="s">
        <v>5</v>
      </c>
      <c r="C94">
        <v>316097</v>
      </c>
      <c r="D94">
        <v>78.492000000000004</v>
      </c>
      <c r="E94" s="1">
        <v>40619200</v>
      </c>
      <c r="F94" s="1">
        <v>142512000</v>
      </c>
      <c r="G94">
        <v>1.7561899999999998E-2</v>
      </c>
      <c r="H94">
        <v>390.55</v>
      </c>
      <c r="I94">
        <v>597589</v>
      </c>
    </row>
    <row r="95" spans="1:10" x14ac:dyDescent="0.25">
      <c r="C95">
        <f>C94/SUM(94:94)*100</f>
        <v>0.17174951244909317</v>
      </c>
      <c r="D95">
        <f t="shared" ref="D95:J95" si="140">D94/SUM(94:94)*100</f>
        <v>4.2648183093019616E-5</v>
      </c>
      <c r="E95">
        <f t="shared" si="140"/>
        <v>22.070211979462652</v>
      </c>
      <c r="F95">
        <f t="shared" si="140"/>
        <v>77.433087052851391</v>
      </c>
      <c r="G95">
        <f t="shared" si="140"/>
        <v>9.542158776197588E-9</v>
      </c>
      <c r="H95">
        <f t="shared" si="140"/>
        <v>2.1220312779619339E-4</v>
      </c>
      <c r="I95">
        <f t="shared" si="140"/>
        <v>0.32469659438381621</v>
      </c>
      <c r="J95">
        <f t="shared" si="140"/>
        <v>0</v>
      </c>
    </row>
    <row r="96" spans="1:10" x14ac:dyDescent="0.25">
      <c r="A96" t="s">
        <v>0</v>
      </c>
      <c r="B96" t="s">
        <v>1</v>
      </c>
      <c r="C96" t="s">
        <v>2</v>
      </c>
      <c r="D96" t="s">
        <v>4</v>
      </c>
      <c r="E96" t="s">
        <v>8</v>
      </c>
      <c r="F96" t="s">
        <v>20</v>
      </c>
      <c r="G96" t="s">
        <v>9</v>
      </c>
      <c r="H96" t="s">
        <v>12</v>
      </c>
      <c r="I96" t="s">
        <v>10</v>
      </c>
    </row>
    <row r="97" spans="1:10" x14ac:dyDescent="0.25">
      <c r="A97" t="s">
        <v>1</v>
      </c>
      <c r="B97" t="s">
        <v>5</v>
      </c>
      <c r="C97" s="1">
        <v>4362220000</v>
      </c>
      <c r="D97" s="1">
        <v>49777700</v>
      </c>
      <c r="E97" s="1">
        <v>9345620000</v>
      </c>
      <c r="F97" s="1">
        <v>35038400000</v>
      </c>
      <c r="G97" s="1">
        <v>1622270</v>
      </c>
      <c r="H97" s="1">
        <v>4030370000</v>
      </c>
      <c r="I97" s="1">
        <v>46338100000</v>
      </c>
    </row>
    <row r="98" spans="1:10" x14ac:dyDescent="0.25">
      <c r="C98">
        <f>C97/SUM(97:97)*100</f>
        <v>4.3989020052512604</v>
      </c>
      <c r="D98">
        <f t="shared" ref="D98:J98" si="141">D97/SUM(97:97)*100</f>
        <v>5.0196281789271435E-2</v>
      </c>
      <c r="E98">
        <f t="shared" si="141"/>
        <v>9.4242075269739445</v>
      </c>
      <c r="F98" s="1">
        <f>F97/SUM(97:97)*100</f>
        <v>35.333038686906157</v>
      </c>
      <c r="G98">
        <f t="shared" si="141"/>
        <v>1.6359117046042984E-3</v>
      </c>
      <c r="H98">
        <f t="shared" si="141"/>
        <v>4.0642614712014797</v>
      </c>
      <c r="I98">
        <f t="shared" si="141"/>
        <v>46.727758116173284</v>
      </c>
      <c r="J98">
        <f t="shared" si="141"/>
        <v>0</v>
      </c>
    </row>
    <row r="99" spans="1:10" x14ac:dyDescent="0.25">
      <c r="A99" s="2" t="s">
        <v>28</v>
      </c>
    </row>
    <row r="100" spans="1:10" x14ac:dyDescent="0.25">
      <c r="A100" t="s">
        <v>0</v>
      </c>
      <c r="B100" t="s">
        <v>1</v>
      </c>
      <c r="C100" t="s">
        <v>3</v>
      </c>
      <c r="D100" t="s">
        <v>2</v>
      </c>
      <c r="E100" t="s">
        <v>12</v>
      </c>
      <c r="F100" t="s">
        <v>10</v>
      </c>
    </row>
    <row r="101" spans="1:10" x14ac:dyDescent="0.25">
      <c r="A101" t="s">
        <v>1</v>
      </c>
      <c r="B101" t="s">
        <v>5</v>
      </c>
      <c r="C101" s="1">
        <v>6.4656300000000002E-7</v>
      </c>
      <c r="D101">
        <v>12.198</v>
      </c>
      <c r="E101" s="1">
        <v>1.53778E-5</v>
      </c>
      <c r="F101" s="1">
        <v>6.3991499999999998E-9</v>
      </c>
    </row>
    <row r="102" spans="1:10" x14ac:dyDescent="0.25">
      <c r="C102">
        <f>C101/SUM(101:101)*100</f>
        <v>5.30055870044304E-6</v>
      </c>
      <c r="D102">
        <f t="shared" ref="D102" si="142">D101/SUM(101:101)*100</f>
        <v>99.999868578938489</v>
      </c>
      <c r="E102">
        <f t="shared" ref="E102" si="143">E101/SUM(101:101)*100</f>
        <v>1.2606804222275786E-4</v>
      </c>
      <c r="F102">
        <f t="shared" ref="F102" si="144">F101/SUM(101:101)*100</f>
        <v>5.2460580342426152E-8</v>
      </c>
      <c r="G102">
        <f t="shared" ref="G102" si="145">G101/SUM(101:101)*100</f>
        <v>0</v>
      </c>
      <c r="H102">
        <f t="shared" ref="H102" si="146">H101/SUM(101:101)*100</f>
        <v>0</v>
      </c>
      <c r="I102">
        <f t="shared" ref="I102" si="147">I101/SUM(101:101)*100</f>
        <v>0</v>
      </c>
      <c r="J102">
        <f t="shared" ref="J102" si="148">J101/SUM(101:101)*100</f>
        <v>0</v>
      </c>
    </row>
    <row r="103" spans="1:10" x14ac:dyDescent="0.25">
      <c r="A103" t="s">
        <v>0</v>
      </c>
      <c r="B103" t="s">
        <v>1</v>
      </c>
      <c r="C103" t="s">
        <v>3</v>
      </c>
      <c r="D103" t="s">
        <v>2</v>
      </c>
      <c r="E103" t="s">
        <v>12</v>
      </c>
      <c r="F103" t="s">
        <v>10</v>
      </c>
    </row>
    <row r="104" spans="1:10" x14ac:dyDescent="0.25">
      <c r="A104" t="s">
        <v>1</v>
      </c>
      <c r="B104" t="s">
        <v>5</v>
      </c>
      <c r="C104">
        <v>597464</v>
      </c>
      <c r="D104" s="1">
        <v>362664000</v>
      </c>
      <c r="E104" s="1">
        <v>5640040</v>
      </c>
      <c r="F104">
        <v>92850.9</v>
      </c>
    </row>
    <row r="105" spans="1:10" x14ac:dyDescent="0.25">
      <c r="C105">
        <f>C104/SUM(104:104)*100</f>
        <v>0.16191684020800723</v>
      </c>
      <c r="D105">
        <f t="shared" ref="D105" si="149">D104/SUM(104:104)*100</f>
        <v>98.284430421241666</v>
      </c>
      <c r="E105">
        <f t="shared" ref="E105" si="150">E104/SUM(104:104)*100</f>
        <v>1.5284895080653713</v>
      </c>
      <c r="F105">
        <f t="shared" ref="F105" si="151">F104/SUM(104:104)*100</f>
        <v>2.5163230484965882E-2</v>
      </c>
      <c r="G105">
        <f t="shared" ref="G105" si="152">G104/SUM(104:104)*100</f>
        <v>0</v>
      </c>
      <c r="H105">
        <f t="shared" ref="H105" si="153">H104/SUM(104:104)*100</f>
        <v>0</v>
      </c>
      <c r="I105">
        <f t="shared" ref="I105" si="154">I104/SUM(104:104)*100</f>
        <v>0</v>
      </c>
      <c r="J105">
        <f t="shared" ref="J105" si="155">J104/SUM(104:104)*100</f>
        <v>0</v>
      </c>
    </row>
    <row r="106" spans="1:10" x14ac:dyDescent="0.25">
      <c r="A106" s="2" t="s">
        <v>29</v>
      </c>
    </row>
    <row r="107" spans="1:10" x14ac:dyDescent="0.25">
      <c r="A107" t="s">
        <v>0</v>
      </c>
      <c r="B107" t="s">
        <v>1</v>
      </c>
      <c r="C107" t="s">
        <v>3</v>
      </c>
      <c r="D107" t="s">
        <v>4</v>
      </c>
      <c r="E107" t="s">
        <v>8</v>
      </c>
      <c r="F107" t="s">
        <v>2</v>
      </c>
      <c r="G107" t="s">
        <v>9</v>
      </c>
      <c r="H107" t="s">
        <v>12</v>
      </c>
    </row>
    <row r="108" spans="1:10" x14ac:dyDescent="0.25">
      <c r="A108" t="s">
        <v>1</v>
      </c>
      <c r="B108" t="s">
        <v>5</v>
      </c>
      <c r="C108">
        <v>2334.29</v>
      </c>
      <c r="D108">
        <v>0.288628</v>
      </c>
      <c r="E108">
        <v>64.040400000000005</v>
      </c>
      <c r="F108">
        <v>2.1220599999999999E-4</v>
      </c>
      <c r="G108">
        <v>0.236458</v>
      </c>
      <c r="H108">
        <v>5.99817</v>
      </c>
    </row>
    <row r="109" spans="1:10" x14ac:dyDescent="0.25">
      <c r="C109">
        <f>C108/SUM(108:108)*100</f>
        <v>97.0657731374489</v>
      </c>
      <c r="D109">
        <f t="shared" ref="D109" si="156">D108/SUM(108:108)*100</f>
        <v>1.2001893496144698E-2</v>
      </c>
      <c r="E109">
        <f t="shared" ref="E109" si="157">E108/SUM(108:108)*100</f>
        <v>2.6629643009358239</v>
      </c>
      <c r="F109">
        <f t="shared" ref="F109" si="158">F108/SUM(108:108)*100</f>
        <v>8.8240704687101778E-6</v>
      </c>
      <c r="G109">
        <f t="shared" ref="G109" si="159">G108/SUM(108:108)*100</f>
        <v>9.832530912840691E-3</v>
      </c>
      <c r="H109">
        <f t="shared" ref="H109" si="160">H108/SUM(108:108)*100</f>
        <v>0.24941931313583657</v>
      </c>
      <c r="I109">
        <f t="shared" ref="I109" si="161">I108/SUM(108:108)*100</f>
        <v>0</v>
      </c>
      <c r="J109">
        <f t="shared" ref="J109" si="162">J108/SUM(108:108)*100</f>
        <v>0</v>
      </c>
    </row>
    <row r="110" spans="1:10" x14ac:dyDescent="0.25">
      <c r="A110" t="s">
        <v>0</v>
      </c>
      <c r="B110" t="s">
        <v>1</v>
      </c>
      <c r="C110" t="s">
        <v>3</v>
      </c>
      <c r="D110" t="s">
        <v>4</v>
      </c>
      <c r="E110" t="s">
        <v>8</v>
      </c>
      <c r="F110" t="s">
        <v>2</v>
      </c>
      <c r="G110" t="s">
        <v>9</v>
      </c>
      <c r="H110" t="s">
        <v>12</v>
      </c>
    </row>
    <row r="111" spans="1:10" x14ac:dyDescent="0.25">
      <c r="A111" t="s">
        <v>1</v>
      </c>
      <c r="B111" t="s">
        <v>5</v>
      </c>
      <c r="C111" s="1">
        <v>34192800</v>
      </c>
      <c r="D111">
        <v>883846</v>
      </c>
      <c r="E111" s="1">
        <v>4476210</v>
      </c>
      <c r="F111">
        <v>39078.5</v>
      </c>
      <c r="G111">
        <v>391019</v>
      </c>
      <c r="H111" s="1">
        <v>54621600</v>
      </c>
    </row>
    <row r="112" spans="1:10" x14ac:dyDescent="0.25">
      <c r="C112">
        <f>C111/SUM(111:111)*100</f>
        <v>36.142869169611373</v>
      </c>
      <c r="D112">
        <f t="shared" ref="D112:J112" si="163">D111/SUM(111:111)*100</f>
        <v>0.93425312767846846</v>
      </c>
      <c r="E112">
        <f t="shared" si="163"/>
        <v>4.7314952974224438</v>
      </c>
      <c r="F112">
        <f t="shared" si="163"/>
        <v>4.1307208325865624E-2</v>
      </c>
      <c r="G112">
        <f t="shared" si="163"/>
        <v>0.41331942864674059</v>
      </c>
      <c r="H112">
        <f t="shared" si="163"/>
        <v>57.736755768315106</v>
      </c>
      <c r="I112">
        <f t="shared" si="163"/>
        <v>0</v>
      </c>
      <c r="J112">
        <f t="shared" si="163"/>
        <v>0</v>
      </c>
    </row>
    <row r="113" spans="1:11" x14ac:dyDescent="0.25">
      <c r="A113" s="2" t="s">
        <v>30</v>
      </c>
    </row>
    <row r="114" spans="1:11" x14ac:dyDescent="0.2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8</v>
      </c>
      <c r="G114" t="s">
        <v>9</v>
      </c>
      <c r="H114" t="s">
        <v>20</v>
      </c>
      <c r="I114" t="s">
        <v>12</v>
      </c>
      <c r="J114" t="s">
        <v>10</v>
      </c>
      <c r="K114" t="s">
        <v>13</v>
      </c>
    </row>
    <row r="115" spans="1:11" x14ac:dyDescent="0.25">
      <c r="A115" t="s">
        <v>1</v>
      </c>
      <c r="B115" t="s">
        <v>5</v>
      </c>
      <c r="C115" s="1">
        <v>4.3144899999999996E-9</v>
      </c>
      <c r="D115" s="1">
        <v>3.4385200000000002E-10</v>
      </c>
      <c r="E115" s="1">
        <v>7.0009100000000003E-12</v>
      </c>
      <c r="F115">
        <v>2.5740300000000002E-3</v>
      </c>
      <c r="G115" s="1">
        <v>5.5302900000000002E-17</v>
      </c>
      <c r="H115" s="1">
        <v>4.2180100000000001E-15</v>
      </c>
      <c r="I115" s="1">
        <v>2.4055600000000001E-9</v>
      </c>
      <c r="J115" s="1">
        <v>3.0720099999999999E-10</v>
      </c>
      <c r="K115" s="1">
        <v>5.9737900000000005E-14</v>
      </c>
    </row>
    <row r="116" spans="1:11" x14ac:dyDescent="0.25">
      <c r="C116" s="1">
        <f>C115/SUM(115:115)*100</f>
        <v>1.6761567009842144E-4</v>
      </c>
      <c r="D116" s="1">
        <f t="shared" ref="D116:K116" si="164">D115/SUM(115:115)*100</f>
        <v>1.3358469574545871E-5</v>
      </c>
      <c r="E116" s="1">
        <f t="shared" si="164"/>
        <v>2.7198167592200692E-7</v>
      </c>
      <c r="F116" s="1">
        <f t="shared" si="164"/>
        <v>99.999713362052006</v>
      </c>
      <c r="G116" s="1">
        <f t="shared" si="164"/>
        <v>2.1484886143868667E-12</v>
      </c>
      <c r="H116" s="1">
        <f t="shared" si="164"/>
        <v>1.6386747277936504E-10</v>
      </c>
      <c r="I116" s="1">
        <f t="shared" si="164"/>
        <v>9.3454742359342296E-5</v>
      </c>
      <c r="J116" s="1">
        <f t="shared" si="164"/>
        <v>1.1934597477316013E-5</v>
      </c>
      <c r="K116" s="1">
        <f t="shared" si="164"/>
        <v>2.3207860346813858E-9</v>
      </c>
    </row>
    <row r="117" spans="1:11" x14ac:dyDescent="0.25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8</v>
      </c>
      <c r="G117" t="s">
        <v>9</v>
      </c>
      <c r="H117" t="s">
        <v>20</v>
      </c>
      <c r="I117" t="s">
        <v>12</v>
      </c>
      <c r="J117" t="s">
        <v>10</v>
      </c>
      <c r="K117" t="s">
        <v>13</v>
      </c>
    </row>
    <row r="118" spans="1:11" x14ac:dyDescent="0.25">
      <c r="A118" t="s">
        <v>1</v>
      </c>
      <c r="B118" t="s">
        <v>5</v>
      </c>
      <c r="C118">
        <v>16991.099999999999</v>
      </c>
      <c r="D118">
        <v>1734.78</v>
      </c>
      <c r="E118">
        <v>645.25</v>
      </c>
      <c r="F118">
        <v>596709</v>
      </c>
      <c r="G118">
        <v>4.6831800000000001</v>
      </c>
      <c r="H118">
        <v>97.829599999999999</v>
      </c>
      <c r="I118">
        <v>181105</v>
      </c>
      <c r="J118">
        <v>64915.6</v>
      </c>
      <c r="K118">
        <v>801.89200000000005</v>
      </c>
    </row>
    <row r="119" spans="1:11" x14ac:dyDescent="0.25">
      <c r="C119" s="1">
        <f>C118/SUM(118:118)*100</f>
        <v>1.9688295370723863</v>
      </c>
      <c r="D119" s="1">
        <f t="shared" ref="D119" si="165">D118/SUM(118:118)*100</f>
        <v>0.20101618519827641</v>
      </c>
      <c r="E119" s="1">
        <f t="shared" ref="E119" si="166">E118/SUM(118:118)*100</f>
        <v>7.4767805427309431E-2</v>
      </c>
      <c r="F119" s="1">
        <f t="shared" ref="F119" si="167">F118/SUM(118:118)*100</f>
        <v>69.143157549359756</v>
      </c>
      <c r="G119" s="1">
        <f t="shared" ref="G119" si="168">G118/SUM(118:118)*100</f>
        <v>5.4265957539103757E-4</v>
      </c>
      <c r="H119" s="1">
        <f t="shared" ref="H119" si="169">H118/SUM(118:118)*100</f>
        <v>1.133592328218754E-2</v>
      </c>
      <c r="I119" s="1">
        <f t="shared" ref="I119" si="170">I118/SUM(118:118)*100</f>
        <v>20.98539078173247</v>
      </c>
      <c r="J119" s="1">
        <f t="shared" ref="J119" si="171">J118/SUM(118:118)*100</f>
        <v>7.5220409918590443</v>
      </c>
      <c r="K119" s="1">
        <f t="shared" ref="K119" si="172">K118/SUM(118:118)*100</f>
        <v>9.2918566493167015E-2</v>
      </c>
    </row>
    <row r="120" spans="1:11" x14ac:dyDescent="0.25">
      <c r="A120" s="2" t="s">
        <v>31</v>
      </c>
    </row>
    <row r="121" spans="1:11" x14ac:dyDescent="0.25">
      <c r="A121" t="s">
        <v>0</v>
      </c>
      <c r="B121" t="s">
        <v>1</v>
      </c>
      <c r="C121" t="s">
        <v>2</v>
      </c>
      <c r="D121" t="s">
        <v>3</v>
      </c>
      <c r="E121" t="s">
        <v>12</v>
      </c>
      <c r="F121" t="s">
        <v>10</v>
      </c>
    </row>
    <row r="122" spans="1:11" x14ac:dyDescent="0.25">
      <c r="A122" t="s">
        <v>1</v>
      </c>
      <c r="B122" t="s">
        <v>5</v>
      </c>
      <c r="C122">
        <v>5.2000599999999997</v>
      </c>
      <c r="D122">
        <v>3693.08</v>
      </c>
      <c r="E122">
        <v>0.40506300000000001</v>
      </c>
      <c r="F122" s="1">
        <v>2.17364E-10</v>
      </c>
    </row>
    <row r="123" spans="1:11" x14ac:dyDescent="0.25">
      <c r="C123">
        <f>C122/SUM(122:122)*100</f>
        <v>0.14059212468948776</v>
      </c>
      <c r="D123">
        <f t="shared" ref="D123" si="173">D122/SUM(122:122)*100</f>
        <v>99.848456334783336</v>
      </c>
      <c r="E123">
        <f t="shared" ref="E123" si="174">E122/SUM(122:122)*100</f>
        <v>1.095154052128206E-2</v>
      </c>
      <c r="F123">
        <f t="shared" ref="F123" si="175">F122/SUM(122:122)*100</f>
        <v>5.8767911506801492E-12</v>
      </c>
      <c r="G123">
        <f t="shared" ref="G123" si="176">G122/SUM(122:122)*100</f>
        <v>0</v>
      </c>
      <c r="H123">
        <f t="shared" ref="H123" si="177">H122/SUM(122:122)*100</f>
        <v>0</v>
      </c>
      <c r="I123">
        <f t="shared" ref="I123" si="178">I122/SUM(122:122)*100</f>
        <v>0</v>
      </c>
      <c r="J123">
        <f t="shared" ref="J123" si="179">J122/SUM(122:122)*100</f>
        <v>0</v>
      </c>
    </row>
    <row r="124" spans="1:11" x14ac:dyDescent="0.25">
      <c r="A124" t="s">
        <v>0</v>
      </c>
      <c r="B124" t="s">
        <v>1</v>
      </c>
      <c r="C124" t="s">
        <v>2</v>
      </c>
      <c r="D124" t="s">
        <v>3</v>
      </c>
      <c r="E124" t="s">
        <v>12</v>
      </c>
      <c r="F124" t="s">
        <v>10</v>
      </c>
    </row>
    <row r="125" spans="1:11" x14ac:dyDescent="0.25">
      <c r="A125" t="s">
        <v>1</v>
      </c>
      <c r="B125" t="s">
        <v>5</v>
      </c>
      <c r="C125" s="1">
        <v>2616060</v>
      </c>
      <c r="D125" s="1">
        <v>55195700</v>
      </c>
      <c r="E125" s="1">
        <v>54082800</v>
      </c>
      <c r="F125">
        <v>5393.87</v>
      </c>
    </row>
    <row r="126" spans="1:11" x14ac:dyDescent="0.25">
      <c r="C126">
        <f>C125/SUM(125:125)*100</f>
        <v>2.3378561916470608</v>
      </c>
      <c r="D126">
        <f t="shared" ref="D126" si="180">D125/SUM(125:125)*100</f>
        <v>49.325936330701012</v>
      </c>
      <c r="E126">
        <f t="shared" ref="E126" si="181">E125/SUM(125:125)*100</f>
        <v>48.331387216504844</v>
      </c>
      <c r="F126">
        <f t="shared" ref="F126" si="182">F125/SUM(125:125)*100</f>
        <v>4.8202611470835269E-3</v>
      </c>
      <c r="G126">
        <f t="shared" ref="G126" si="183">G125/SUM(125:125)*100</f>
        <v>0</v>
      </c>
      <c r="H126">
        <f t="shared" ref="H126" si="184">H125/SUM(125:125)*100</f>
        <v>0</v>
      </c>
      <c r="I126">
        <f t="shared" ref="I126" si="185">I125/SUM(125:125)*100</f>
        <v>0</v>
      </c>
      <c r="J126">
        <f t="shared" ref="J126" si="186">J125/SUM(125:125)*100</f>
        <v>0</v>
      </c>
    </row>
    <row r="127" spans="1:11" x14ac:dyDescent="0.25">
      <c r="A127" s="2" t="s">
        <v>32</v>
      </c>
    </row>
    <row r="128" spans="1:11" x14ac:dyDescent="0.25">
      <c r="A128" t="s">
        <v>0</v>
      </c>
      <c r="B128" t="s">
        <v>1</v>
      </c>
      <c r="C128" t="s">
        <v>2</v>
      </c>
      <c r="D128" t="s">
        <v>3</v>
      </c>
    </row>
    <row r="129" spans="1:10" x14ac:dyDescent="0.25">
      <c r="A129" t="s">
        <v>1</v>
      </c>
      <c r="B129" t="s">
        <v>5</v>
      </c>
      <c r="C129" s="1">
        <v>93976800000</v>
      </c>
      <c r="D129">
        <v>1.2052200000000001E-2</v>
      </c>
    </row>
    <row r="130" spans="1:10" x14ac:dyDescent="0.25">
      <c r="C130">
        <f>C129/SUM(129:129)*100</f>
        <v>99.999999999987182</v>
      </c>
      <c r="D130">
        <f t="shared" ref="D130:J130" si="187">D129/SUM(129:129)*100</f>
        <v>1.2824654595600675E-11</v>
      </c>
      <c r="E130">
        <f t="shared" si="187"/>
        <v>0</v>
      </c>
      <c r="F130">
        <f t="shared" si="187"/>
        <v>0</v>
      </c>
      <c r="G130">
        <f t="shared" si="187"/>
        <v>0</v>
      </c>
      <c r="H130">
        <f t="shared" si="187"/>
        <v>0</v>
      </c>
      <c r="I130">
        <f t="shared" si="187"/>
        <v>0</v>
      </c>
      <c r="J130">
        <f t="shared" si="187"/>
        <v>0</v>
      </c>
    </row>
    <row r="131" spans="1:10" x14ac:dyDescent="0.25">
      <c r="A131" t="s">
        <v>0</v>
      </c>
      <c r="B131" t="s">
        <v>1</v>
      </c>
      <c r="C131" t="s">
        <v>2</v>
      </c>
      <c r="D131" t="s">
        <v>3</v>
      </c>
    </row>
    <row r="132" spans="1:10" x14ac:dyDescent="0.25">
      <c r="A132" t="s">
        <v>1</v>
      </c>
      <c r="B132" t="s">
        <v>5</v>
      </c>
      <c r="C132" s="1">
        <v>427916000000</v>
      </c>
      <c r="D132">
        <v>459044</v>
      </c>
    </row>
    <row r="133" spans="1:10" x14ac:dyDescent="0.25">
      <c r="C133">
        <f>C132/SUM(132:132)*100</f>
        <v>99.999892725790204</v>
      </c>
      <c r="D133">
        <f t="shared" ref="D133:J133" si="188">D132/SUM(132:132)*100</f>
        <v>1.0727420978981305E-4</v>
      </c>
      <c r="E133">
        <f t="shared" si="188"/>
        <v>0</v>
      </c>
      <c r="F133">
        <f t="shared" si="188"/>
        <v>0</v>
      </c>
      <c r="G133">
        <f t="shared" si="188"/>
        <v>0</v>
      </c>
      <c r="H133">
        <f t="shared" si="188"/>
        <v>0</v>
      </c>
      <c r="I133">
        <f t="shared" si="188"/>
        <v>0</v>
      </c>
      <c r="J133">
        <f t="shared" si="188"/>
        <v>0</v>
      </c>
    </row>
    <row r="134" spans="1:10" x14ac:dyDescent="0.25">
      <c r="A134" s="2" t="s">
        <v>33</v>
      </c>
    </row>
    <row r="135" spans="1:10" x14ac:dyDescent="0.2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8</v>
      </c>
      <c r="G135" t="s">
        <v>12</v>
      </c>
      <c r="H135" t="s">
        <v>10</v>
      </c>
      <c r="I135" t="s">
        <v>13</v>
      </c>
      <c r="J135" t="s">
        <v>11</v>
      </c>
    </row>
    <row r="136" spans="1:10" x14ac:dyDescent="0.25">
      <c r="A136" t="s">
        <v>1</v>
      </c>
      <c r="B136" t="s">
        <v>5</v>
      </c>
      <c r="C136" s="1">
        <v>6.4801399999999995E-10</v>
      </c>
      <c r="D136" s="1">
        <v>2.3707399999999999E-5</v>
      </c>
      <c r="E136">
        <v>1.02045E-2</v>
      </c>
      <c r="F136" s="1">
        <v>1.4563199999999999E-7</v>
      </c>
      <c r="G136" s="1">
        <v>5.9173200000000004E-9</v>
      </c>
      <c r="H136" s="1">
        <v>1.2239799999999999E-9</v>
      </c>
      <c r="I136" s="1">
        <v>1.94545E-12</v>
      </c>
      <c r="J136" s="1">
        <v>4.8910799999999996E-9</v>
      </c>
    </row>
    <row r="137" spans="1:10" x14ac:dyDescent="0.25">
      <c r="C137">
        <f>C136/SUM(136:136)*100</f>
        <v>6.335459819270343E-6</v>
      </c>
      <c r="D137">
        <f t="shared" ref="D137:J137" si="189">D136/SUM(136:136)*100</f>
        <v>0.23178091849770183</v>
      </c>
      <c r="E137">
        <f t="shared" si="189"/>
        <v>99.766671284484957</v>
      </c>
      <c r="F137">
        <f t="shared" si="189"/>
        <v>1.4238051714931758E-3</v>
      </c>
      <c r="G137">
        <f t="shared" si="189"/>
        <v>5.7852057359508894E-5</v>
      </c>
      <c r="H137">
        <f t="shared" si="189"/>
        <v>1.1966525583691891E-5</v>
      </c>
      <c r="I137">
        <f t="shared" si="189"/>
        <v>1.9020145097790312E-8</v>
      </c>
      <c r="J137">
        <f t="shared" si="189"/>
        <v>4.781878294733878E-5</v>
      </c>
    </row>
    <row r="138" spans="1:10" x14ac:dyDescent="0.25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8</v>
      </c>
      <c r="G138" t="s">
        <v>12</v>
      </c>
      <c r="H138" t="s">
        <v>10</v>
      </c>
      <c r="I138" t="s">
        <v>13</v>
      </c>
      <c r="J138" t="s">
        <v>11</v>
      </c>
    </row>
    <row r="139" spans="1:10" x14ac:dyDescent="0.25">
      <c r="A139" t="s">
        <v>1</v>
      </c>
      <c r="B139" t="s">
        <v>5</v>
      </c>
      <c r="C139">
        <v>2022.95</v>
      </c>
      <c r="D139">
        <v>110427</v>
      </c>
      <c r="E139" s="1">
        <v>3214130</v>
      </c>
      <c r="F139">
        <v>298957</v>
      </c>
      <c r="G139">
        <v>193020</v>
      </c>
      <c r="H139">
        <v>108083</v>
      </c>
      <c r="I139">
        <v>2743.37</v>
      </c>
      <c r="J139">
        <v>179804</v>
      </c>
    </row>
    <row r="140" spans="1:10" x14ac:dyDescent="0.25">
      <c r="C140">
        <f>C139/SUM(139:139)*100</f>
        <v>4.9229928997249997E-2</v>
      </c>
      <c r="D140">
        <f t="shared" ref="D140:J140" si="190">D139/SUM(139:139)*100</f>
        <v>2.6873196912327662</v>
      </c>
      <c r="E140">
        <f t="shared" si="190"/>
        <v>78.218142656976752</v>
      </c>
      <c r="F140">
        <f t="shared" si="190"/>
        <v>7.2753315125093883</v>
      </c>
      <c r="G140">
        <f t="shared" si="190"/>
        <v>4.6972791690596374</v>
      </c>
      <c r="H140">
        <f t="shared" si="190"/>
        <v>2.6302767818333477</v>
      </c>
      <c r="I140">
        <f t="shared" si="190"/>
        <v>6.6761862781178821E-2</v>
      </c>
      <c r="J140">
        <f t="shared" si="190"/>
        <v>4.3756583966096727</v>
      </c>
    </row>
    <row r="141" spans="1:10" x14ac:dyDescent="0.25">
      <c r="A141" s="2" t="s">
        <v>34</v>
      </c>
    </row>
    <row r="142" spans="1:10" x14ac:dyDescent="0.25">
      <c r="A142" t="s">
        <v>0</v>
      </c>
      <c r="B142" t="s">
        <v>1</v>
      </c>
      <c r="C142" t="s">
        <v>2</v>
      </c>
      <c r="D142" t="s">
        <v>3</v>
      </c>
      <c r="E142" t="s">
        <v>8</v>
      </c>
      <c r="F142" t="s">
        <v>4</v>
      </c>
      <c r="G142" t="s">
        <v>9</v>
      </c>
      <c r="H142" t="s">
        <v>12</v>
      </c>
      <c r="I142" t="s">
        <v>10</v>
      </c>
      <c r="J142" t="s">
        <v>13</v>
      </c>
    </row>
    <row r="143" spans="1:10" x14ac:dyDescent="0.25">
      <c r="A143" t="s">
        <v>1</v>
      </c>
      <c r="B143" t="s">
        <v>5</v>
      </c>
      <c r="C143" s="1">
        <v>3.4846200000000002E-6</v>
      </c>
      <c r="D143" s="1">
        <v>3.31302E-6</v>
      </c>
      <c r="E143">
        <v>26609</v>
      </c>
      <c r="F143">
        <v>8.4541400000000003E-2</v>
      </c>
      <c r="G143" s="1">
        <v>1.3764900000000001E-8</v>
      </c>
      <c r="H143" s="1">
        <v>4.9837900000000001E-8</v>
      </c>
      <c r="I143">
        <v>7.6841899999999996E-3</v>
      </c>
      <c r="J143">
        <v>0.117546</v>
      </c>
    </row>
    <row r="144" spans="1:10" x14ac:dyDescent="0.25">
      <c r="C144">
        <f>C143/SUM(143:143)*100</f>
        <v>1.3095541089017706E-8</v>
      </c>
      <c r="D144">
        <f t="shared" ref="D144:J144" si="191">D143/SUM(143:143)*100</f>
        <v>1.2450651588620119E-8</v>
      </c>
      <c r="E144">
        <f t="shared" si="191"/>
        <v>99.999211632164233</v>
      </c>
      <c r="F144">
        <f t="shared" si="191"/>
        <v>3.1771480890974672E-4</v>
      </c>
      <c r="G144">
        <f t="shared" si="191"/>
        <v>5.1729833822976344E-11</v>
      </c>
      <c r="H144">
        <f t="shared" si="191"/>
        <v>1.8729567850737112E-10</v>
      </c>
      <c r="I144">
        <f t="shared" si="191"/>
        <v>2.8877933858159274E-5</v>
      </c>
      <c r="J144">
        <f t="shared" si="191"/>
        <v>4.4174930777234685E-4</v>
      </c>
    </row>
    <row r="145" spans="1:10" x14ac:dyDescent="0.25">
      <c r="A145" t="s">
        <v>0</v>
      </c>
      <c r="B145" t="s">
        <v>1</v>
      </c>
      <c r="C145" t="s">
        <v>2</v>
      </c>
      <c r="D145" t="s">
        <v>3</v>
      </c>
      <c r="E145" t="s">
        <v>8</v>
      </c>
      <c r="F145" t="s">
        <v>4</v>
      </c>
      <c r="G145" t="s">
        <v>9</v>
      </c>
      <c r="H145" t="s">
        <v>12</v>
      </c>
      <c r="I145" t="s">
        <v>10</v>
      </c>
      <c r="J145" t="s">
        <v>13</v>
      </c>
    </row>
    <row r="146" spans="1:10" x14ac:dyDescent="0.25">
      <c r="A146" t="s">
        <v>1</v>
      </c>
      <c r="B146" t="s">
        <v>5</v>
      </c>
      <c r="C146">
        <v>1534.27</v>
      </c>
      <c r="D146">
        <v>700.46199999999999</v>
      </c>
      <c r="E146" s="1">
        <v>18626200</v>
      </c>
      <c r="F146">
        <v>653857</v>
      </c>
      <c r="G146">
        <v>1082.5</v>
      </c>
      <c r="H146">
        <v>40381.699999999997</v>
      </c>
      <c r="I146" s="1">
        <v>2085270</v>
      </c>
      <c r="J146" s="1">
        <v>1103860</v>
      </c>
    </row>
    <row r="147" spans="1:10" x14ac:dyDescent="0.25">
      <c r="C147">
        <f>C146/SUM(146:146)*100</f>
        <v>6.8150747293538941E-3</v>
      </c>
      <c r="D147">
        <f t="shared" ref="D147:J147" si="192">D146/SUM(146:146)*100</f>
        <v>3.1113825305015982E-3</v>
      </c>
      <c r="E147">
        <f t="shared" si="192"/>
        <v>82.735727690622582</v>
      </c>
      <c r="F147">
        <f t="shared" si="192"/>
        <v>2.9043677562040253</v>
      </c>
      <c r="G147">
        <f t="shared" si="192"/>
        <v>4.8083573259762565E-3</v>
      </c>
      <c r="H147">
        <f t="shared" si="192"/>
        <v>0.17937149471628211</v>
      </c>
      <c r="I147">
        <f t="shared" si="192"/>
        <v>9.2625619225297999</v>
      </c>
      <c r="J147">
        <f t="shared" si="192"/>
        <v>4.9032363213414785</v>
      </c>
    </row>
    <row r="148" spans="1:10" x14ac:dyDescent="0.25">
      <c r="A148" s="2" t="s">
        <v>35</v>
      </c>
    </row>
    <row r="149" spans="1:10" x14ac:dyDescent="0.25">
      <c r="A149" t="s">
        <v>0</v>
      </c>
      <c r="B149" t="s">
        <v>1</v>
      </c>
      <c r="C149" t="s">
        <v>2</v>
      </c>
      <c r="D149" t="s">
        <v>3</v>
      </c>
    </row>
    <row r="150" spans="1:10" x14ac:dyDescent="0.25">
      <c r="A150" t="s">
        <v>1</v>
      </c>
      <c r="B150" t="s">
        <v>5</v>
      </c>
      <c r="C150">
        <v>3.7762299999999999E-2</v>
      </c>
      <c r="D150" s="1">
        <v>1133170000</v>
      </c>
    </row>
    <row r="151" spans="1:10" x14ac:dyDescent="0.25">
      <c r="C151">
        <f>C150/SUM(150:150)*100</f>
        <v>3.3324479114997384E-9</v>
      </c>
      <c r="D151">
        <f t="shared" ref="D151" si="193">D150/SUM(150:150)*100</f>
        <v>99.99999999666754</v>
      </c>
    </row>
    <row r="152" spans="1:10" x14ac:dyDescent="0.25">
      <c r="A152" t="s">
        <v>0</v>
      </c>
      <c r="B152" t="s">
        <v>1</v>
      </c>
      <c r="C152" t="s">
        <v>2</v>
      </c>
      <c r="D152" t="s">
        <v>3</v>
      </c>
    </row>
    <row r="153" spans="1:10" x14ac:dyDescent="0.25">
      <c r="A153" t="s">
        <v>1</v>
      </c>
      <c r="B153" t="s">
        <v>5</v>
      </c>
      <c r="C153">
        <v>490902</v>
      </c>
      <c r="D153" s="1">
        <v>139743000000</v>
      </c>
    </row>
    <row r="154" spans="1:10" x14ac:dyDescent="0.25">
      <c r="C154">
        <f>C153/SUM(153:153)*100</f>
        <v>3.5128791819310004E-4</v>
      </c>
      <c r="D154">
        <f t="shared" ref="D154" si="194">D153/SUM(153:153)*100</f>
        <v>99.999648712081807</v>
      </c>
    </row>
    <row r="155" spans="1:10" x14ac:dyDescent="0.25">
      <c r="A155" s="2" t="s">
        <v>36</v>
      </c>
    </row>
    <row r="156" spans="1:10" x14ac:dyDescent="0.25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8</v>
      </c>
      <c r="G156" t="s">
        <v>12</v>
      </c>
      <c r="H156" t="s">
        <v>13</v>
      </c>
      <c r="I156" t="s">
        <v>10</v>
      </c>
      <c r="J156" t="s">
        <v>11</v>
      </c>
    </row>
    <row r="157" spans="1:10" x14ac:dyDescent="0.25">
      <c r="A157" t="s">
        <v>1</v>
      </c>
      <c r="B157" t="s">
        <v>5</v>
      </c>
      <c r="C157">
        <v>599.45899999999995</v>
      </c>
      <c r="D157" s="1">
        <v>4.8222800000000005E-7</v>
      </c>
      <c r="E157" s="1">
        <v>6.9668199999999996E-6</v>
      </c>
      <c r="F157">
        <v>58650.6</v>
      </c>
      <c r="G157" s="1">
        <v>4.0069300000000003E-8</v>
      </c>
      <c r="H157" s="1">
        <v>6.2109499999999999E-9</v>
      </c>
      <c r="I157">
        <v>2.7006399999999998E-4</v>
      </c>
      <c r="J157" s="1">
        <v>2.09021E-7</v>
      </c>
    </row>
    <row r="158" spans="1:10" x14ac:dyDescent="0.25">
      <c r="C158">
        <f>C157/SUM(157:157)*100</f>
        <v>1.011744135461021</v>
      </c>
      <c r="D158">
        <f t="shared" ref="D158:J158" si="195">D157/SUM(157:157)*100</f>
        <v>8.1388610556367891E-10</v>
      </c>
      <c r="E158">
        <f t="shared" si="195"/>
        <v>1.1758334227716242E-8</v>
      </c>
      <c r="F158">
        <f t="shared" si="195"/>
        <v>98.988255395732097</v>
      </c>
      <c r="G158">
        <f t="shared" si="195"/>
        <v>6.7627442889385758E-11</v>
      </c>
      <c r="H158">
        <f t="shared" si="195"/>
        <v>1.0482605546236906E-11</v>
      </c>
      <c r="I158">
        <f t="shared" si="195"/>
        <v>4.5580376339190032E-7</v>
      </c>
      <c r="J158">
        <f t="shared" si="195"/>
        <v>3.5277770612868951E-10</v>
      </c>
    </row>
    <row r="159" spans="1:10" x14ac:dyDescent="0.25">
      <c r="A159" t="s">
        <v>0</v>
      </c>
      <c r="B159" t="s">
        <v>1</v>
      </c>
      <c r="C159" t="s">
        <v>2</v>
      </c>
      <c r="D159" s="1" t="s">
        <v>3</v>
      </c>
      <c r="E159" s="1" t="s">
        <v>4</v>
      </c>
      <c r="F159" t="s">
        <v>8</v>
      </c>
      <c r="G159" s="1" t="s">
        <v>12</v>
      </c>
      <c r="H159" s="1" t="s">
        <v>13</v>
      </c>
      <c r="I159" t="s">
        <v>10</v>
      </c>
      <c r="J159" s="1" t="s">
        <v>11</v>
      </c>
    </row>
    <row r="160" spans="1:10" x14ac:dyDescent="0.25">
      <c r="A160" t="s">
        <v>1</v>
      </c>
      <c r="B160" t="s">
        <v>5</v>
      </c>
      <c r="C160" s="1">
        <v>16215500</v>
      </c>
      <c r="D160">
        <v>89550.3</v>
      </c>
      <c r="E160">
        <v>48772.2</v>
      </c>
      <c r="F160" s="1">
        <v>1295880000</v>
      </c>
      <c r="G160">
        <v>367251</v>
      </c>
      <c r="H160">
        <v>53008.2</v>
      </c>
      <c r="I160" s="1">
        <v>13139200</v>
      </c>
      <c r="J160">
        <v>359202</v>
      </c>
    </row>
    <row r="161" spans="1:10" x14ac:dyDescent="0.25">
      <c r="C161">
        <f>C160/SUM(160:160)*100</f>
        <v>1.2227477759388823</v>
      </c>
      <c r="D161">
        <f t="shared" ref="D161:J161" si="196">D160/SUM(160:160)*100</f>
        <v>6.7526397681021066E-3</v>
      </c>
      <c r="E161">
        <f t="shared" si="196"/>
        <v>3.677721875837708E-3</v>
      </c>
      <c r="F161">
        <f t="shared" si="196"/>
        <v>97.717269765574841</v>
      </c>
      <c r="G161">
        <f t="shared" si="196"/>
        <v>2.7692969286258858E-2</v>
      </c>
      <c r="H161">
        <f t="shared" si="196"/>
        <v>3.9971421575975743E-3</v>
      </c>
      <c r="I161">
        <f t="shared" si="196"/>
        <v>0.99077595989122513</v>
      </c>
      <c r="J161">
        <f t="shared" si="196"/>
        <v>2.7086025507249138E-2</v>
      </c>
    </row>
    <row r="162" spans="1:10" ht="23.8" x14ac:dyDescent="0.4">
      <c r="A162" s="3" t="s">
        <v>37</v>
      </c>
    </row>
    <row r="163" spans="1:10" x14ac:dyDescent="0.25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12</v>
      </c>
      <c r="G163" t="s">
        <v>10</v>
      </c>
    </row>
    <row r="164" spans="1:10" x14ac:dyDescent="0.25">
      <c r="A164" t="s">
        <v>1</v>
      </c>
      <c r="B164" t="s">
        <v>5</v>
      </c>
      <c r="C164" s="1">
        <v>2.6337400000000001E-6</v>
      </c>
      <c r="D164" s="1">
        <v>4.0605600000000003E-5</v>
      </c>
      <c r="E164" s="1">
        <v>3.0795000000000002E-11</v>
      </c>
      <c r="F164" s="1">
        <v>2.6902400000000001E-11</v>
      </c>
      <c r="G164" s="1">
        <v>3.31863E-15</v>
      </c>
    </row>
    <row r="165" spans="1:10" x14ac:dyDescent="0.25">
      <c r="C165">
        <f>C164/SUM(164:164)*100</f>
        <v>6.0910654173062824</v>
      </c>
      <c r="D165">
        <f t="shared" ref="D165:J165" si="197">D164/SUM(164:164)*100</f>
        <v>93.908801137914892</v>
      </c>
      <c r="E165">
        <f t="shared" si="197"/>
        <v>7.1219770943960672E-5</v>
      </c>
      <c r="F165">
        <f t="shared" si="197"/>
        <v>6.2217332873609594E-5</v>
      </c>
      <c r="G165">
        <f t="shared" si="197"/>
        <v>7.6750143999920828E-9</v>
      </c>
      <c r="H165">
        <f t="shared" si="197"/>
        <v>0</v>
      </c>
      <c r="I165">
        <f t="shared" si="197"/>
        <v>0</v>
      </c>
      <c r="J165">
        <f t="shared" si="197"/>
        <v>0</v>
      </c>
    </row>
    <row r="166" spans="1:10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12</v>
      </c>
      <c r="G166" t="s">
        <v>10</v>
      </c>
    </row>
    <row r="167" spans="1:10" x14ac:dyDescent="0.25">
      <c r="A167" t="s">
        <v>1</v>
      </c>
      <c r="B167" t="s">
        <v>5</v>
      </c>
      <c r="C167">
        <v>38865.5</v>
      </c>
      <c r="D167">
        <v>170193</v>
      </c>
      <c r="E167">
        <v>103.31699999999999</v>
      </c>
      <c r="F167">
        <v>9148.83</v>
      </c>
      <c r="G167">
        <v>118.065</v>
      </c>
    </row>
    <row r="168" spans="1:10" x14ac:dyDescent="0.25">
      <c r="C168">
        <f>C167/SUM(167:167)*100</f>
        <v>17.793219418882991</v>
      </c>
      <c r="D168">
        <f t="shared" ref="D168:J168" si="198">D167/SUM(167:167)*100</f>
        <v>77.916954434085568</v>
      </c>
      <c r="E168">
        <f t="shared" si="198"/>
        <v>4.7300100364094988E-2</v>
      </c>
      <c r="F168">
        <f t="shared" si="198"/>
        <v>4.1884740866850869</v>
      </c>
      <c r="G168">
        <f t="shared" si="198"/>
        <v>5.4051959982257272E-2</v>
      </c>
      <c r="H168">
        <f t="shared" si="198"/>
        <v>0</v>
      </c>
      <c r="I168">
        <f t="shared" si="198"/>
        <v>0</v>
      </c>
      <c r="J168">
        <f t="shared" si="198"/>
        <v>0</v>
      </c>
    </row>
    <row r="169" spans="1:10" x14ac:dyDescent="0.25">
      <c r="A169" s="2" t="s">
        <v>38</v>
      </c>
    </row>
    <row r="170" spans="1:10" x14ac:dyDescent="0.25">
      <c r="A170" t="s">
        <v>0</v>
      </c>
      <c r="B170" t="s">
        <v>1</v>
      </c>
      <c r="C170" t="s">
        <v>2</v>
      </c>
      <c r="D170" t="s">
        <v>3</v>
      </c>
      <c r="E170" t="s">
        <v>12</v>
      </c>
      <c r="F170" t="s">
        <v>10</v>
      </c>
    </row>
    <row r="171" spans="1:10" x14ac:dyDescent="0.25">
      <c r="A171" t="s">
        <v>1</v>
      </c>
      <c r="B171" t="s">
        <v>5</v>
      </c>
      <c r="C171">
        <v>8.0631499999999995E-2</v>
      </c>
      <c r="D171" s="1">
        <v>3.1540900000000002E-6</v>
      </c>
      <c r="E171" s="1">
        <v>9.1562300000000001E-11</v>
      </c>
      <c r="F171" s="1">
        <v>8.9141700000000004E-13</v>
      </c>
    </row>
    <row r="172" spans="1:10" x14ac:dyDescent="0.25">
      <c r="C172">
        <f>C171/SUM(171:171)*100</f>
        <v>99.996088304109833</v>
      </c>
      <c r="D172">
        <f t="shared" ref="D172:J172" si="199">D171/SUM(171:171)*100</f>
        <v>3.9115812326337698E-3</v>
      </c>
      <c r="E172">
        <f t="shared" si="199"/>
        <v>1.1355204648465422E-7</v>
      </c>
      <c r="F172">
        <f t="shared" si="199"/>
        <v>1.1055011136811875E-9</v>
      </c>
      <c r="G172">
        <f t="shared" si="199"/>
        <v>0</v>
      </c>
      <c r="H172">
        <f t="shared" si="199"/>
        <v>0</v>
      </c>
      <c r="I172">
        <f t="shared" si="199"/>
        <v>0</v>
      </c>
      <c r="J172">
        <f t="shared" si="199"/>
        <v>0</v>
      </c>
    </row>
    <row r="173" spans="1:10" x14ac:dyDescent="0.25">
      <c r="A173" t="s">
        <v>0</v>
      </c>
      <c r="B173" t="s">
        <v>1</v>
      </c>
      <c r="C173" t="s">
        <v>2</v>
      </c>
      <c r="D173" t="s">
        <v>3</v>
      </c>
      <c r="E173" t="s">
        <v>12</v>
      </c>
      <c r="F173" t="s">
        <v>10</v>
      </c>
    </row>
    <row r="174" spans="1:10" x14ac:dyDescent="0.25">
      <c r="A174" t="s">
        <v>1</v>
      </c>
      <c r="B174" t="s">
        <v>5</v>
      </c>
      <c r="C174" s="1">
        <v>2319570</v>
      </c>
      <c r="D174">
        <v>38566</v>
      </c>
      <c r="E174">
        <v>47899</v>
      </c>
      <c r="F174">
        <v>2794.88</v>
      </c>
    </row>
    <row r="175" spans="1:10" x14ac:dyDescent="0.25">
      <c r="C175">
        <f>C174/SUM(174:174)*100</f>
        <v>96.294471405344737</v>
      </c>
      <c r="D175">
        <f t="shared" ref="D175:J175" si="200">D174/SUM(174:174)*100</f>
        <v>1.6010263041074533</v>
      </c>
      <c r="E175">
        <f t="shared" si="200"/>
        <v>1.988475832091555</v>
      </c>
      <c r="F175">
        <f t="shared" si="200"/>
        <v>0.11602645845625265</v>
      </c>
      <c r="G175">
        <f t="shared" si="200"/>
        <v>0</v>
      </c>
      <c r="H175">
        <f t="shared" si="200"/>
        <v>0</v>
      </c>
      <c r="I175">
        <f t="shared" si="200"/>
        <v>0</v>
      </c>
      <c r="J175">
        <f t="shared" si="200"/>
        <v>0</v>
      </c>
    </row>
  </sheetData>
  <conditionalFormatting sqref="A28:XFD28 A116:M116">
    <cfRule type="cellIs" dxfId="54" priority="91" operator="greaterThan">
      <formula>5</formula>
    </cfRule>
    <cfRule type="cellIs" priority="92" operator="greaterThan">
      <formula>5</formula>
    </cfRule>
  </conditionalFormatting>
  <conditionalFormatting sqref="A32:XFD32">
    <cfRule type="cellIs" dxfId="53" priority="93" operator="greaterThan">
      <formula>5</formula>
    </cfRule>
    <cfRule type="cellIs" priority="94" operator="greaterThan">
      <formula>5</formula>
    </cfRule>
  </conditionalFormatting>
  <conditionalFormatting sqref="A35:XFD35">
    <cfRule type="cellIs" dxfId="52" priority="95" operator="greaterThan">
      <formula>5</formula>
    </cfRule>
    <cfRule type="cellIs" priority="96" operator="greaterThan">
      <formula>5</formula>
    </cfRule>
  </conditionalFormatting>
  <conditionalFormatting sqref="A39:XFD39">
    <cfRule type="cellIs" dxfId="51" priority="97" operator="greaterThan">
      <formula>5</formula>
    </cfRule>
    <cfRule type="cellIs" priority="98" operator="greaterThan">
      <formula>5</formula>
    </cfRule>
  </conditionalFormatting>
  <conditionalFormatting sqref="A42:XFD42">
    <cfRule type="cellIs" dxfId="50" priority="99" operator="greaterThan">
      <formula>5</formula>
    </cfRule>
    <cfRule type="cellIs" priority="100" operator="greaterThan">
      <formula>5</formula>
    </cfRule>
  </conditionalFormatting>
  <conditionalFormatting sqref="A46:XFD46">
    <cfRule type="cellIs" dxfId="49" priority="101" operator="greaterThan">
      <formula>5</formula>
    </cfRule>
    <cfRule type="cellIs" priority="102" operator="greaterThan">
      <formula>5</formula>
    </cfRule>
  </conditionalFormatting>
  <conditionalFormatting sqref="A49:XFD49 A50">
    <cfRule type="cellIs" dxfId="48" priority="103" operator="greaterThan">
      <formula>5</formula>
    </cfRule>
    <cfRule type="cellIs" priority="104" operator="greaterThan">
      <formula>5</formula>
    </cfRule>
  </conditionalFormatting>
  <conditionalFormatting sqref="A53:XFD53">
    <cfRule type="cellIs" dxfId="47" priority="89" operator="greaterThan">
      <formula>5</formula>
    </cfRule>
    <cfRule type="cellIs" priority="90" operator="greaterThan">
      <formula>5</formula>
    </cfRule>
  </conditionalFormatting>
  <conditionalFormatting sqref="A56:XFD56">
    <cfRule type="cellIs" dxfId="46" priority="87" operator="greaterThan">
      <formula>5</formula>
    </cfRule>
    <cfRule type="cellIs" priority="88" operator="greaterThan">
      <formula>5</formula>
    </cfRule>
  </conditionalFormatting>
  <conditionalFormatting sqref="A60:XFD60">
    <cfRule type="cellIs" dxfId="45" priority="85" operator="greaterThan">
      <formula>5</formula>
    </cfRule>
    <cfRule type="cellIs" priority="86" operator="greaterThan">
      <formula>5</formula>
    </cfRule>
  </conditionalFormatting>
  <conditionalFormatting sqref="A63:XFD63 A64">
    <cfRule type="cellIs" dxfId="44" priority="83" operator="greaterThan">
      <formula>5</formula>
    </cfRule>
    <cfRule type="cellIs" priority="84" operator="greaterThan">
      <formula>5</formula>
    </cfRule>
  </conditionalFormatting>
  <conditionalFormatting sqref="A67:XFD67">
    <cfRule type="cellIs" dxfId="43" priority="81" operator="greaterThan">
      <formula>5</formula>
    </cfRule>
    <cfRule type="cellIs" priority="82" operator="greaterThan">
      <formula>5</formula>
    </cfRule>
  </conditionalFormatting>
  <conditionalFormatting sqref="A70:XFD70 A71">
    <cfRule type="cellIs" dxfId="42" priority="79" operator="greaterThan">
      <formula>5</formula>
    </cfRule>
    <cfRule type="cellIs" priority="80" operator="greaterThan">
      <formula>5</formula>
    </cfRule>
  </conditionalFormatting>
  <conditionalFormatting sqref="A74:XFD74">
    <cfRule type="cellIs" dxfId="41" priority="77" operator="greaterThan">
      <formula>5</formula>
    </cfRule>
    <cfRule type="cellIs" priority="78" operator="greaterThan">
      <formula>5</formula>
    </cfRule>
  </conditionalFormatting>
  <conditionalFormatting sqref="A77:XFD77 A78">
    <cfRule type="cellIs" dxfId="40" priority="75" operator="greaterThan">
      <formula>5</formula>
    </cfRule>
    <cfRule type="cellIs" priority="76" operator="greaterThan">
      <formula>5</formula>
    </cfRule>
  </conditionalFormatting>
  <conditionalFormatting sqref="A81:XFD81">
    <cfRule type="cellIs" dxfId="39" priority="73" operator="greaterThan">
      <formula>5</formula>
    </cfRule>
    <cfRule type="cellIs" priority="74" operator="greaterThan">
      <formula>5</formula>
    </cfRule>
  </conditionalFormatting>
  <conditionalFormatting sqref="A84:XFD84 A85">
    <cfRule type="cellIs" dxfId="38" priority="71" operator="greaterThan">
      <formula>5</formula>
    </cfRule>
    <cfRule type="cellIs" priority="72" operator="greaterThan">
      <formula>5</formula>
    </cfRule>
  </conditionalFormatting>
  <conditionalFormatting sqref="A88:XFD88">
    <cfRule type="cellIs" dxfId="37" priority="69" operator="greaterThan">
      <formula>5</formula>
    </cfRule>
    <cfRule type="cellIs" priority="70" operator="greaterThan">
      <formula>5</formula>
    </cfRule>
  </conditionalFormatting>
  <conditionalFormatting sqref="A91:XFD91 A92">
    <cfRule type="cellIs" dxfId="36" priority="67" operator="greaterThan">
      <formula>5</formula>
    </cfRule>
    <cfRule type="cellIs" priority="68" operator="greaterThan">
      <formula>5</formula>
    </cfRule>
  </conditionalFormatting>
  <conditionalFormatting sqref="A102:XFD102">
    <cfRule type="cellIs" dxfId="35" priority="65" operator="greaterThan">
      <formula>5</formula>
    </cfRule>
    <cfRule type="cellIs" priority="66" operator="greaterThan">
      <formula>5</formula>
    </cfRule>
  </conditionalFormatting>
  <conditionalFormatting sqref="A105:XFD105 A106">
    <cfRule type="cellIs" dxfId="34" priority="63" operator="greaterThan">
      <formula>5</formula>
    </cfRule>
    <cfRule type="cellIs" priority="64" operator="greaterThan">
      <formula>5</formula>
    </cfRule>
  </conditionalFormatting>
  <conditionalFormatting sqref="A109:XFD109">
    <cfRule type="cellIs" dxfId="33" priority="61" operator="greaterThan">
      <formula>5</formula>
    </cfRule>
    <cfRule type="cellIs" priority="62" operator="greaterThan">
      <formula>5</formula>
    </cfRule>
  </conditionalFormatting>
  <conditionalFormatting sqref="A113">
    <cfRule type="cellIs" dxfId="32" priority="59" operator="greaterThan">
      <formula>5</formula>
    </cfRule>
    <cfRule type="cellIs" priority="60" operator="greaterThan">
      <formula>5</formula>
    </cfRule>
  </conditionalFormatting>
  <conditionalFormatting sqref="A123:XFD123">
    <cfRule type="cellIs" dxfId="31" priority="57" operator="greaterThan">
      <formula>5</formula>
    </cfRule>
    <cfRule type="cellIs" priority="58" operator="greaterThan">
      <formula>5</formula>
    </cfRule>
  </conditionalFormatting>
  <conditionalFormatting sqref="A126:XFD126 A127">
    <cfRule type="cellIs" dxfId="30" priority="55" operator="greaterThan">
      <formula>5</formula>
    </cfRule>
    <cfRule type="cellIs" priority="56" operator="greaterThan">
      <formula>5</formula>
    </cfRule>
  </conditionalFormatting>
  <conditionalFormatting sqref="A112:XFD112">
    <cfRule type="cellIs" dxfId="28" priority="53" operator="greaterThan">
      <formula>5</formula>
    </cfRule>
    <cfRule type="cellIs" priority="54" operator="greaterThan">
      <formula>5</formula>
    </cfRule>
  </conditionalFormatting>
  <conditionalFormatting sqref="A119:B119 L119:XFD119">
    <cfRule type="cellIs" dxfId="27" priority="51" operator="greaterThan">
      <formula>5</formula>
    </cfRule>
    <cfRule type="cellIs" priority="52" operator="greaterThan">
      <formula>5</formula>
    </cfRule>
  </conditionalFormatting>
  <conditionalFormatting sqref="C119:K119">
    <cfRule type="cellIs" dxfId="26" priority="49" operator="greaterThan">
      <formula>5</formula>
    </cfRule>
    <cfRule type="cellIs" priority="50" operator="greaterThan">
      <formula>5</formula>
    </cfRule>
  </conditionalFormatting>
  <conditionalFormatting sqref="A98:J98">
    <cfRule type="cellIs" dxfId="25" priority="47" operator="greaterThan">
      <formula>5</formula>
    </cfRule>
    <cfRule type="cellIs" priority="48" operator="greaterThan">
      <formula>5</formula>
    </cfRule>
  </conditionalFormatting>
  <conditionalFormatting sqref="A95:J95">
    <cfRule type="cellIs" dxfId="24" priority="45" operator="greaterThan">
      <formula>5</formula>
    </cfRule>
    <cfRule type="cellIs" priority="46" operator="greaterThan">
      <formula>5</formula>
    </cfRule>
  </conditionalFormatting>
  <conditionalFormatting sqref="A130:K130">
    <cfRule type="cellIs" dxfId="23" priority="43" operator="greaterThan">
      <formula>5</formula>
    </cfRule>
    <cfRule type="cellIs" priority="44" operator="greaterThan">
      <formula>5</formula>
    </cfRule>
  </conditionalFormatting>
  <conditionalFormatting sqref="A133:K133 A134">
    <cfRule type="cellIs" dxfId="22" priority="41" operator="greaterThan">
      <formula>5</formula>
    </cfRule>
    <cfRule type="cellIs" priority="42" operator="greaterThan">
      <formula>5</formula>
    </cfRule>
  </conditionalFormatting>
  <conditionalFormatting sqref="A137:J137">
    <cfRule type="cellIs" dxfId="21" priority="39" operator="greaterThan">
      <formula>5</formula>
    </cfRule>
    <cfRule type="cellIs" priority="40" operator="greaterThan">
      <formula>5</formula>
    </cfRule>
  </conditionalFormatting>
  <conditionalFormatting sqref="C140:J140">
    <cfRule type="cellIs" dxfId="20" priority="37" operator="greaterThan">
      <formula>5</formula>
    </cfRule>
    <cfRule type="cellIs" priority="38" operator="greaterThan">
      <formula>5</formula>
    </cfRule>
  </conditionalFormatting>
  <conditionalFormatting sqref="C144:J144">
    <cfRule type="cellIs" dxfId="19" priority="35" operator="greaterThan">
      <formula>5</formula>
    </cfRule>
    <cfRule type="cellIs" priority="36" operator="greaterThan">
      <formula>5</formula>
    </cfRule>
  </conditionalFormatting>
  <conditionalFormatting sqref="C147:J147">
    <cfRule type="cellIs" dxfId="18" priority="33" operator="greaterThan">
      <formula>5</formula>
    </cfRule>
    <cfRule type="cellIs" priority="34" operator="greaterThan">
      <formula>5</formula>
    </cfRule>
  </conditionalFormatting>
  <conditionalFormatting sqref="C151:D151">
    <cfRule type="cellIs" dxfId="17" priority="31" operator="greaterThan">
      <formula>5</formula>
    </cfRule>
    <cfRule type="cellIs" priority="32" operator="greaterThan">
      <formula>5</formula>
    </cfRule>
  </conditionalFormatting>
  <conditionalFormatting sqref="C154:D154">
    <cfRule type="cellIs" dxfId="16" priority="29" operator="greaterThan">
      <formula>5</formula>
    </cfRule>
    <cfRule type="cellIs" priority="30" operator="greaterThan">
      <formula>5</formula>
    </cfRule>
  </conditionalFormatting>
  <conditionalFormatting sqref="C158:J158">
    <cfRule type="cellIs" dxfId="13" priority="27" operator="greaterThan">
      <formula>5</formula>
    </cfRule>
    <cfRule type="cellIs" priority="28" operator="greaterThan">
      <formula>5</formula>
    </cfRule>
  </conditionalFormatting>
  <conditionalFormatting sqref="C161:J161">
    <cfRule type="cellIs" dxfId="11" priority="23" operator="greaterThan">
      <formula>5</formula>
    </cfRule>
    <cfRule type="cellIs" priority="24" operator="greaterThan">
      <formula>5</formula>
    </cfRule>
  </conditionalFormatting>
  <conditionalFormatting sqref="C165:J165">
    <cfRule type="cellIs" dxfId="10" priority="21" operator="greaterThan">
      <formula>5</formula>
    </cfRule>
    <cfRule type="cellIs" priority="22" operator="greaterThan">
      <formula>5</formula>
    </cfRule>
  </conditionalFormatting>
  <conditionalFormatting sqref="C168:J168">
    <cfRule type="cellIs" dxfId="9" priority="19" operator="greaterThan">
      <formula>5</formula>
    </cfRule>
    <cfRule type="cellIs" priority="20" operator="greaterThan">
      <formula>5</formula>
    </cfRule>
  </conditionalFormatting>
  <conditionalFormatting sqref="C172:J172">
    <cfRule type="cellIs" dxfId="8" priority="17" operator="greaterThan">
      <formula>5</formula>
    </cfRule>
    <cfRule type="cellIs" priority="18" operator="greaterThan">
      <formula>5</formula>
    </cfRule>
  </conditionalFormatting>
  <conditionalFormatting sqref="C175:J175">
    <cfRule type="cellIs" dxfId="7" priority="15" operator="greaterThan">
      <formula>5</formula>
    </cfRule>
    <cfRule type="cellIs" priority="16" operator="greaterThan">
      <formula>5</formula>
    </cfRule>
  </conditionalFormatting>
  <conditionalFormatting sqref="A4:XFD4">
    <cfRule type="cellIs" dxfId="6" priority="13" operator="greaterThan">
      <formula>5</formula>
    </cfRule>
    <cfRule type="cellIs" priority="14" operator="greaterThan">
      <formula>5</formula>
    </cfRule>
  </conditionalFormatting>
  <conditionalFormatting sqref="A7:XFD7">
    <cfRule type="cellIs" dxfId="5" priority="11" operator="greaterThan">
      <formula>5</formula>
    </cfRule>
    <cfRule type="cellIs" priority="12" operator="greaterThan">
      <formula>5</formula>
    </cfRule>
  </conditionalFormatting>
  <conditionalFormatting sqref="A11:XFD11">
    <cfRule type="cellIs" dxfId="4" priority="9" operator="greaterThan">
      <formula>5</formula>
    </cfRule>
    <cfRule type="cellIs" priority="10" operator="greaterThan">
      <formula>5</formula>
    </cfRule>
  </conditionalFormatting>
  <conditionalFormatting sqref="A14:XFD14">
    <cfRule type="cellIs" dxfId="3" priority="7" operator="greaterThan">
      <formula>5</formula>
    </cfRule>
    <cfRule type="cellIs" priority="8" operator="greaterThan">
      <formula>5</formula>
    </cfRule>
  </conditionalFormatting>
  <conditionalFormatting sqref="A18:XFD18">
    <cfRule type="cellIs" dxfId="2" priority="5" operator="greaterThan">
      <formula>5</formula>
    </cfRule>
    <cfRule type="cellIs" priority="6" operator="greaterThan">
      <formula>5</formula>
    </cfRule>
  </conditionalFormatting>
  <conditionalFormatting sqref="A21:XFD21">
    <cfRule type="cellIs" dxfId="1" priority="3" operator="greaterThan">
      <formula>5</formula>
    </cfRule>
    <cfRule type="cellIs" priority="4" operator="greaterThan">
      <formula>5</formula>
    </cfRule>
  </conditionalFormatting>
  <conditionalFormatting sqref="A25:XFD25">
    <cfRule type="cellIs" dxfId="0" priority="1" operator="greaterThan">
      <formula>5</formula>
    </cfRule>
    <cfRule type="cellIs" priority="2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Doner</dc:creator>
  <cp:lastModifiedBy>Anna Doner</cp:lastModifiedBy>
  <dcterms:created xsi:type="dcterms:W3CDTF">2025-08-04T14:03:01Z</dcterms:created>
  <dcterms:modified xsi:type="dcterms:W3CDTF">2025-11-17T21:20:28Z</dcterms:modified>
</cp:coreProperties>
</file>